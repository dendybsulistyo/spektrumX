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dendy/Downloads/"/>
    </mc:Choice>
  </mc:AlternateContent>
  <xr:revisionPtr revIDLastSave="0" documentId="13_ncr:1_{32139A05-B6A7-6746-A436-8BFFB6E6341E}" xr6:coauthVersionLast="47" xr6:coauthVersionMax="47" xr10:uidLastSave="{00000000-0000-0000-0000-000000000000}"/>
  <bookViews>
    <workbookView xWindow="14220" yWindow="500" windowWidth="32280" windowHeight="20420" tabRatio="500" xr2:uid="{00000000-000D-0000-FFFF-FFFF00000000}"/>
  </bookViews>
  <sheets>
    <sheet name="Pembelian" sheetId="1" r:id="rId1"/>
  </sheets>
  <definedNames>
    <definedName name="_xlnm.Print_Area" localSheetId="0">Pembelian!$A$1:$O$188</definedName>
    <definedName name="_xlnm.Print_Titles" localSheetId="0">Pembelian!$4:$5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84" i="1" l="1"/>
  <c r="I182" i="1"/>
  <c r="J182" i="1" s="1"/>
  <c r="L182" i="1" s="1"/>
  <c r="Q182" i="1" s="1"/>
  <c r="H180" i="1"/>
  <c r="I180" i="1" s="1"/>
  <c r="H179" i="1"/>
  <c r="I179" i="1" s="1"/>
  <c r="H177" i="1"/>
  <c r="I177" i="1" s="1"/>
  <c r="J177" i="1" s="1"/>
  <c r="K177" i="1" s="1"/>
  <c r="H175" i="1"/>
  <c r="I175" i="1" s="1"/>
  <c r="J175" i="1" s="1"/>
  <c r="I173" i="1"/>
  <c r="J173" i="1" s="1"/>
  <c r="L173" i="1" s="1"/>
  <c r="Q173" i="1" s="1"/>
  <c r="H171" i="1"/>
  <c r="I171" i="1" s="1"/>
  <c r="J171" i="1" s="1"/>
  <c r="K171" i="1" s="1"/>
  <c r="H168" i="1"/>
  <c r="I168" i="1" s="1"/>
  <c r="H167" i="1"/>
  <c r="I167" i="1" s="1"/>
  <c r="H164" i="1"/>
  <c r="I164" i="1" s="1"/>
  <c r="H163" i="1"/>
  <c r="I163" i="1" s="1"/>
  <c r="H162" i="1"/>
  <c r="I162" i="1" s="1"/>
  <c r="I160" i="1"/>
  <c r="J160" i="1" s="1"/>
  <c r="L160" i="1" s="1"/>
  <c r="H157" i="1"/>
  <c r="I157" i="1" s="1"/>
  <c r="H156" i="1"/>
  <c r="I156" i="1" s="1"/>
  <c r="H153" i="1"/>
  <c r="I153" i="1" s="1"/>
  <c r="H152" i="1"/>
  <c r="I152" i="1" s="1"/>
  <c r="H151" i="1"/>
  <c r="I151" i="1" s="1"/>
  <c r="H150" i="1"/>
  <c r="I150" i="1" s="1"/>
  <c r="H149" i="1"/>
  <c r="I149" i="1" s="1"/>
  <c r="H146" i="1"/>
  <c r="I146" i="1" s="1"/>
  <c r="H145" i="1"/>
  <c r="I145" i="1" s="1"/>
  <c r="H143" i="1"/>
  <c r="I143" i="1" s="1"/>
  <c r="J143" i="1" s="1"/>
  <c r="K143" i="1" s="1"/>
  <c r="I140" i="1"/>
  <c r="I139" i="1"/>
  <c r="I138" i="1"/>
  <c r="I137" i="1"/>
  <c r="H132" i="1"/>
  <c r="I132" i="1" s="1"/>
  <c r="H131" i="1"/>
  <c r="I131" i="1" s="1"/>
  <c r="H128" i="1"/>
  <c r="I128" i="1" s="1"/>
  <c r="H127" i="1"/>
  <c r="I127" i="1" s="1"/>
  <c r="J129" i="1" s="1"/>
  <c r="K129" i="1" s="1"/>
  <c r="I124" i="1"/>
  <c r="I123" i="1"/>
  <c r="I122" i="1"/>
  <c r="I121" i="1"/>
  <c r="H118" i="1"/>
  <c r="I118" i="1" s="1"/>
  <c r="H117" i="1"/>
  <c r="I117" i="1" s="1"/>
  <c r="J119" i="1" s="1"/>
  <c r="K119" i="1" s="1"/>
  <c r="I115" i="1"/>
  <c r="J115" i="1" s="1"/>
  <c r="L115" i="1" s="1"/>
  <c r="M115" i="1" s="1"/>
  <c r="H113" i="1"/>
  <c r="I113" i="1" s="1"/>
  <c r="J113" i="1" s="1"/>
  <c r="H110" i="1"/>
  <c r="I110" i="1" s="1"/>
  <c r="H109" i="1"/>
  <c r="I109" i="1" s="1"/>
  <c r="H108" i="1"/>
  <c r="I108" i="1" s="1"/>
  <c r="H107" i="1"/>
  <c r="I107" i="1" s="1"/>
  <c r="H106" i="1"/>
  <c r="I106" i="1" s="1"/>
  <c r="J104" i="1"/>
  <c r="L104" i="1" s="1"/>
  <c r="Q104" i="1" s="1"/>
  <c r="I104" i="1"/>
  <c r="I102" i="1"/>
  <c r="I101" i="1"/>
  <c r="I100" i="1"/>
  <c r="I99" i="1"/>
  <c r="I96" i="1"/>
  <c r="H96" i="1"/>
  <c r="I95" i="1"/>
  <c r="H95" i="1"/>
  <c r="H92" i="1"/>
  <c r="I92" i="1" s="1"/>
  <c r="H91" i="1"/>
  <c r="I91" i="1" s="1"/>
  <c r="H90" i="1"/>
  <c r="I90" i="1" s="1"/>
  <c r="H89" i="1"/>
  <c r="I89" i="1" s="1"/>
  <c r="H86" i="1"/>
  <c r="I86" i="1" s="1"/>
  <c r="I85" i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57" i="1"/>
  <c r="I57" i="1" s="1"/>
  <c r="H56" i="1"/>
  <c r="I56" i="1" s="1"/>
  <c r="H55" i="1"/>
  <c r="I55" i="1" s="1"/>
  <c r="I53" i="1"/>
  <c r="J53" i="1" s="1"/>
  <c r="I50" i="1"/>
  <c r="G49" i="1"/>
  <c r="I49" i="1" s="1"/>
  <c r="G46" i="1"/>
  <c r="I46" i="1" s="1"/>
  <c r="J51" i="1" s="1"/>
  <c r="L51" i="1" s="1"/>
  <c r="I41" i="1"/>
  <c r="G40" i="1"/>
  <c r="I40" i="1" s="1"/>
  <c r="G37" i="1"/>
  <c r="I37" i="1" s="1"/>
  <c r="H33" i="1"/>
  <c r="I33" i="1" s="1"/>
  <c r="J33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I20" i="1"/>
  <c r="H20" i="1"/>
  <c r="I19" i="1"/>
  <c r="H19" i="1"/>
  <c r="I18" i="1"/>
  <c r="H18" i="1"/>
  <c r="I17" i="1"/>
  <c r="H17" i="1"/>
  <c r="I16" i="1"/>
  <c r="H16" i="1"/>
  <c r="I15" i="1"/>
  <c r="H15" i="1"/>
  <c r="H12" i="1"/>
  <c r="I12" i="1" s="1"/>
  <c r="H11" i="1"/>
  <c r="I11" i="1" s="1"/>
  <c r="H10" i="1"/>
  <c r="I10" i="1" s="1"/>
  <c r="H8" i="1"/>
  <c r="I8" i="1" s="1"/>
  <c r="J8" i="1" s="1"/>
  <c r="J133" i="1" l="1"/>
  <c r="J97" i="1"/>
  <c r="J125" i="1"/>
  <c r="J21" i="1"/>
  <c r="K21" i="1" s="1"/>
  <c r="L21" i="1" s="1"/>
  <c r="J158" i="1"/>
  <c r="K158" i="1" s="1"/>
  <c r="L158" i="1" s="1"/>
  <c r="J165" i="1"/>
  <c r="K165" i="1" s="1"/>
  <c r="L165" i="1" s="1"/>
  <c r="J169" i="1"/>
  <c r="K169" i="1" s="1"/>
  <c r="J147" i="1"/>
  <c r="K147" i="1" s="1"/>
  <c r="L147" i="1" s="1"/>
  <c r="J181" i="1"/>
  <c r="Q160" i="1"/>
  <c r="O160" i="1"/>
  <c r="J87" i="1"/>
  <c r="J93" i="1"/>
  <c r="J154" i="1"/>
  <c r="K154" i="1" s="1"/>
  <c r="J30" i="1"/>
  <c r="K30" i="1" s="1"/>
  <c r="L30" i="1" s="1"/>
  <c r="J103" i="1"/>
  <c r="K103" i="1" s="1"/>
  <c r="L103" i="1" s="1"/>
  <c r="O104" i="1"/>
  <c r="J111" i="1"/>
  <c r="K111" i="1" s="1"/>
  <c r="L111" i="1" s="1"/>
  <c r="J141" i="1"/>
  <c r="K8" i="1"/>
  <c r="L8" i="1" s="1"/>
  <c r="J58" i="1"/>
  <c r="K87" i="1"/>
  <c r="L87" i="1" s="1"/>
  <c r="J13" i="1"/>
  <c r="J42" i="1"/>
  <c r="L42" i="1" s="1"/>
  <c r="Q51" i="1"/>
  <c r="M51" i="1"/>
  <c r="K53" i="1"/>
  <c r="L53" i="1" s="1"/>
  <c r="K125" i="1"/>
  <c r="L125" i="1" s="1"/>
  <c r="K133" i="1"/>
  <c r="L133" i="1" s="1"/>
  <c r="K175" i="1"/>
  <c r="L175" i="1" s="1"/>
  <c r="K181" i="1"/>
  <c r="K33" i="1"/>
  <c r="L33" i="1" s="1"/>
  <c r="K141" i="1"/>
  <c r="L141" i="1" s="1"/>
  <c r="K97" i="1"/>
  <c r="L97" i="1" s="1"/>
  <c r="K113" i="1"/>
  <c r="L113" i="1" s="1"/>
  <c r="Q115" i="1"/>
  <c r="L119" i="1"/>
  <c r="L143" i="1"/>
  <c r="L171" i="1"/>
  <c r="O173" i="1"/>
  <c r="L177" i="1"/>
  <c r="O182" i="1"/>
  <c r="L129" i="1"/>
  <c r="L169" i="1"/>
  <c r="L154" i="1" l="1"/>
  <c r="L181" i="1"/>
  <c r="Q181" i="1" s="1"/>
  <c r="K93" i="1"/>
  <c r="L93" i="1" s="1"/>
  <c r="Q97" i="1"/>
  <c r="M97" i="1"/>
  <c r="Q53" i="1"/>
  <c r="M53" i="1"/>
  <c r="M30" i="1"/>
  <c r="Q30" i="1"/>
  <c r="Q113" i="1"/>
  <c r="N113" i="1"/>
  <c r="N184" i="1" s="1"/>
  <c r="Q33" i="1"/>
  <c r="M33" i="1"/>
  <c r="Q154" i="1"/>
  <c r="M154" i="1"/>
  <c r="Q143" i="1"/>
  <c r="M143" i="1"/>
  <c r="O141" i="1"/>
  <c r="O184" i="1" s="1"/>
  <c r="Q141" i="1"/>
  <c r="M103" i="1"/>
  <c r="Q103" i="1"/>
  <c r="M181" i="1"/>
  <c r="M175" i="1"/>
  <c r="Q175" i="1"/>
  <c r="M165" i="1"/>
  <c r="Q165" i="1"/>
  <c r="M158" i="1"/>
  <c r="Q158" i="1"/>
  <c r="M147" i="1"/>
  <c r="Q147" i="1"/>
  <c r="M133" i="1"/>
  <c r="Q133" i="1"/>
  <c r="M125" i="1"/>
  <c r="Q125" i="1"/>
  <c r="M42" i="1"/>
  <c r="Q42" i="1"/>
  <c r="Q21" i="1"/>
  <c r="M21" i="1"/>
  <c r="M111" i="1"/>
  <c r="Q111" i="1"/>
  <c r="M87" i="1"/>
  <c r="Q87" i="1"/>
  <c r="K58" i="1"/>
  <c r="L58" i="1" s="1"/>
  <c r="Q8" i="1"/>
  <c r="M8" i="1"/>
  <c r="Q169" i="1"/>
  <c r="M169" i="1"/>
  <c r="Q129" i="1"/>
  <c r="M129" i="1"/>
  <c r="Q177" i="1"/>
  <c r="M177" i="1"/>
  <c r="M171" i="1"/>
  <c r="Q171" i="1"/>
  <c r="Q119" i="1"/>
  <c r="M119" i="1"/>
  <c r="K13" i="1"/>
  <c r="L13" i="1" s="1"/>
  <c r="Q93" i="1" l="1"/>
  <c r="M93" i="1"/>
  <c r="L184" i="1"/>
  <c r="M58" i="1"/>
  <c r="Q58" i="1"/>
  <c r="K184" i="1"/>
  <c r="M13" i="1"/>
  <c r="Q13" i="1"/>
  <c r="Q184" i="1" l="1"/>
  <c r="M184" i="1"/>
  <c r="O186" i="1" s="1"/>
</calcChain>
</file>

<file path=xl/sharedStrings.xml><?xml version="1.0" encoding="utf-8"?>
<sst xmlns="http://schemas.openxmlformats.org/spreadsheetml/2006/main" count="208" uniqueCount="168">
  <si>
    <t>PEMBELIAN BAHAN BAKU</t>
  </si>
  <si>
    <t>No</t>
  </si>
  <si>
    <t>Tanggal</t>
  </si>
  <si>
    <t>Supplier</t>
  </si>
  <si>
    <t>No. SJ/Faktur</t>
  </si>
  <si>
    <t>Nama Barang</t>
  </si>
  <si>
    <t>Unit</t>
  </si>
  <si>
    <t>Hrg/Unit</t>
  </si>
  <si>
    <t>Total Harga Sebelum Pajak</t>
  </si>
  <si>
    <t>PPN</t>
  </si>
  <si>
    <t xml:space="preserve">Total </t>
  </si>
  <si>
    <t>Bahan Pokok</t>
  </si>
  <si>
    <t>Inves, Ongkir, Perlengkapan, dl</t>
  </si>
  <si>
    <t>Termin</t>
  </si>
  <si>
    <t>Terima</t>
  </si>
  <si>
    <t>Invoice</t>
  </si>
  <si>
    <t>Harga</t>
  </si>
  <si>
    <t>DPP</t>
  </si>
  <si>
    <t>Hrg + PPn</t>
  </si>
  <si>
    <t>dan Consumable</t>
  </si>
  <si>
    <t>Investasi</t>
  </si>
  <si>
    <t>Biaya</t>
  </si>
  <si>
    <t>Tunai/Transfer</t>
  </si>
  <si>
    <t>Kredit</t>
  </si>
  <si>
    <t>Aneka Warna Indah, PT</t>
  </si>
  <si>
    <t>FP : 04002600004962829</t>
  </si>
  <si>
    <t>Allwin Flatbed Printer 2512GS UV Ricoh Printhead</t>
  </si>
  <si>
    <t>FP : 04002600007083162</t>
  </si>
  <si>
    <t>Lem Powder DTF</t>
  </si>
  <si>
    <t>PET DTF 0.6 x 100 mtr 1 pack isi 2 roll</t>
  </si>
  <si>
    <t>Promax DTF 1 kg Ink White</t>
  </si>
  <si>
    <t>FP : 04002600012759676</t>
  </si>
  <si>
    <t>Tinta DTF-A760 1 kg Ink Cyan</t>
  </si>
  <si>
    <t>Tinta DTF-A760 1 kg Ink Magenta</t>
  </si>
  <si>
    <t>Tinta DTF-A760 1 kg Ink Yellow</t>
  </si>
  <si>
    <t>Tinta DTF-A760 1 kg Ink Black</t>
  </si>
  <si>
    <t>Cleaning Liquid DTF-A760 1 kg Ink Black</t>
  </si>
  <si>
    <t>FP : 04002600012775920</t>
  </si>
  <si>
    <r>
      <rPr>
        <sz val="11"/>
        <rFont val="Arial"/>
        <family val="2"/>
        <charset val="1"/>
      </rPr>
      <t xml:space="preserve">Hexa Ink 5l 6pl Cyan  </t>
    </r>
    <r>
      <rPr>
        <b/>
        <sz val="11"/>
        <rFont val="Arial"/>
        <family val="2"/>
        <charset val="1"/>
      </rPr>
      <t>126.126,13/ltr</t>
    </r>
  </si>
  <si>
    <r>
      <rPr>
        <sz val="11"/>
        <rFont val="Arial"/>
        <family val="2"/>
        <charset val="1"/>
      </rPr>
      <t xml:space="preserve">Hexa Ink 5l 6pl Magenta  </t>
    </r>
    <r>
      <rPr>
        <b/>
        <sz val="11"/>
        <rFont val="Arial"/>
        <family val="2"/>
        <charset val="1"/>
      </rPr>
      <t>126.126,13/ltr</t>
    </r>
  </si>
  <si>
    <r>
      <rPr>
        <sz val="11"/>
        <rFont val="Arial"/>
        <family val="2"/>
        <charset val="1"/>
      </rPr>
      <t xml:space="preserve">Hexa Ink 5l 6pl Yellow  </t>
    </r>
    <r>
      <rPr>
        <b/>
        <sz val="11"/>
        <rFont val="Arial"/>
        <family val="2"/>
        <charset val="1"/>
      </rPr>
      <t>126.126,13/ltr</t>
    </r>
  </si>
  <si>
    <r>
      <rPr>
        <sz val="11"/>
        <rFont val="Arial"/>
        <family val="2"/>
        <charset val="1"/>
      </rPr>
      <t xml:space="preserve">Hexa Ink 5l 6pl Black  </t>
    </r>
    <r>
      <rPr>
        <b/>
        <sz val="11"/>
        <rFont val="Arial"/>
        <family val="2"/>
        <charset val="1"/>
      </rPr>
      <t>126.126,13/ltr</t>
    </r>
  </si>
  <si>
    <r>
      <rPr>
        <sz val="11"/>
        <rFont val="Arial"/>
        <family val="2"/>
        <charset val="1"/>
      </rPr>
      <t xml:space="preserve">Tinta UV TK68 Cyan  </t>
    </r>
    <r>
      <rPr>
        <b/>
        <sz val="11"/>
        <rFont val="Arial"/>
        <family val="2"/>
        <charset val="1"/>
      </rPr>
      <t>1.126.126,13/ltr</t>
    </r>
  </si>
  <si>
    <r>
      <rPr>
        <sz val="11"/>
        <rFont val="Arial"/>
        <family val="2"/>
        <charset val="1"/>
      </rPr>
      <t xml:space="preserve">Tinta UV TK68 Magenta  </t>
    </r>
    <r>
      <rPr>
        <b/>
        <sz val="11"/>
        <rFont val="Arial"/>
        <family val="2"/>
        <charset val="1"/>
      </rPr>
      <t>1.126.126,13/ltr</t>
    </r>
  </si>
  <si>
    <r>
      <rPr>
        <sz val="11"/>
        <rFont val="Arial"/>
        <family val="2"/>
        <charset val="1"/>
      </rPr>
      <t xml:space="preserve">Tinta UV TK68 White  </t>
    </r>
    <r>
      <rPr>
        <b/>
        <sz val="11"/>
        <rFont val="Arial"/>
        <family val="2"/>
        <charset val="1"/>
      </rPr>
      <t>1.126.126,13/ltr</t>
    </r>
  </si>
  <si>
    <t>-</t>
  </si>
  <si>
    <t>Mitra Abadi Jaya Mandiri, PT</t>
  </si>
  <si>
    <t>FP : 04002600004201597</t>
  </si>
  <si>
    <t>Kertas Linen Putih</t>
  </si>
  <si>
    <t>SAMAFITRO, PT</t>
  </si>
  <si>
    <t>FP : 04002600002170860</t>
  </si>
  <si>
    <t>Garansi Canon  IPR C10000 klik Intiscan A3+</t>
  </si>
  <si>
    <t>Miss Copy 1%</t>
  </si>
  <si>
    <t>Garansi Canon  IPR C10000 klik Intiscan A4</t>
  </si>
  <si>
    <t>Long Sheet</t>
  </si>
  <si>
    <t>FP : 04002600002170850</t>
  </si>
  <si>
    <t>Garansi Canon  IPR C10000 klik Spektrum A3+</t>
  </si>
  <si>
    <t>Garansi Canon  IPR C10000 klik Spektrum A4</t>
  </si>
  <si>
    <t>Omega Garda Rupala, CV</t>
  </si>
  <si>
    <t>FP : 04002600006401523</t>
  </si>
  <si>
    <t>Kertas Aster 200gr</t>
  </si>
  <si>
    <t>Putra Mutiara Jaya, PT</t>
  </si>
  <si>
    <t>FP : 04002600001499545</t>
  </si>
  <si>
    <t>Tinta Mimaki LUS 125 Magenta</t>
  </si>
  <si>
    <t>Tinta Mimaki LUS 125 Yellow</t>
  </si>
  <si>
    <t>Tinta Mimaki LUS 125 Black</t>
  </si>
  <si>
    <t>Multi Viscomindo, PT</t>
  </si>
  <si>
    <t>FP : 04002600005706377</t>
  </si>
  <si>
    <r>
      <rPr>
        <sz val="11"/>
        <rFont val="Arial"/>
        <family val="2"/>
        <charset val="1"/>
      </rPr>
      <t xml:space="preserve">Halead FR 5011 M 2.2 x 55 mtr  </t>
    </r>
    <r>
      <rPr>
        <b/>
        <sz val="11"/>
        <rFont val="Arial"/>
        <family val="2"/>
        <charset val="1"/>
      </rPr>
      <t>25.765,77/sqm</t>
    </r>
  </si>
  <si>
    <r>
      <rPr>
        <sz val="11"/>
        <rFont val="Arial"/>
        <family val="2"/>
        <charset val="1"/>
      </rPr>
      <t xml:space="preserve">Halead FR 5011 M 3.2 x 55 mtr  </t>
    </r>
    <r>
      <rPr>
        <b/>
        <sz val="11"/>
        <rFont val="Arial"/>
        <family val="2"/>
        <charset val="1"/>
      </rPr>
      <t>25.765,77/sqm</t>
    </r>
  </si>
  <si>
    <r>
      <rPr>
        <sz val="11"/>
        <rFont val="Arial"/>
        <family val="2"/>
        <charset val="1"/>
      </rPr>
      <t xml:space="preserve">Halead FR 5111 M 4.2 x 55 mtr  </t>
    </r>
    <r>
      <rPr>
        <b/>
        <sz val="11"/>
        <rFont val="Arial"/>
        <family val="2"/>
        <charset val="1"/>
      </rPr>
      <t>31.300,00/sqm</t>
    </r>
  </si>
  <si>
    <r>
      <rPr>
        <sz val="11"/>
        <rFont val="Arial"/>
        <family val="2"/>
        <charset val="1"/>
      </rPr>
      <t xml:space="preserve">Halead FR 5111 M 5.1 x 55 mtr  </t>
    </r>
    <r>
      <rPr>
        <b/>
        <sz val="11"/>
        <rFont val="Arial"/>
        <family val="2"/>
        <charset val="1"/>
      </rPr>
      <t>31.300,00/sqm</t>
    </r>
  </si>
  <si>
    <r>
      <rPr>
        <sz val="11"/>
        <rFont val="Arial"/>
        <family val="2"/>
        <charset val="1"/>
      </rPr>
      <t xml:space="preserve">Apollo Flex FR 340 G/MV 2.2 x 55 mtr  </t>
    </r>
    <r>
      <rPr>
        <b/>
        <sz val="11"/>
        <rFont val="Arial"/>
        <family val="2"/>
        <charset val="1"/>
      </rPr>
      <t>7.300/sqm</t>
    </r>
  </si>
  <si>
    <r>
      <rPr>
        <sz val="11"/>
        <rFont val="Arial"/>
        <family val="2"/>
        <charset val="1"/>
      </rPr>
      <t xml:space="preserve">Apollo Flex FR 340 G/MV 2.6 x 55 mtr  </t>
    </r>
    <r>
      <rPr>
        <b/>
        <sz val="11"/>
        <rFont val="Arial"/>
        <family val="2"/>
        <charset val="1"/>
      </rPr>
      <t>7.300/sqm</t>
    </r>
  </si>
  <si>
    <r>
      <rPr>
        <sz val="11"/>
        <rFont val="Arial"/>
        <family val="2"/>
        <charset val="1"/>
      </rPr>
      <t xml:space="preserve">Apollo Flex FR 340 G/MV 3.2 x 55 mtr  </t>
    </r>
    <r>
      <rPr>
        <b/>
        <sz val="11"/>
        <rFont val="Arial"/>
        <family val="2"/>
        <charset val="1"/>
      </rPr>
      <t>7.300/sqm</t>
    </r>
  </si>
  <si>
    <r>
      <rPr>
        <sz val="11"/>
        <rFont val="Arial"/>
        <family val="2"/>
        <charset val="1"/>
      </rPr>
      <t xml:space="preserve">Apollo Flex FR 340 G/MV 2.8 x 55 mtr  </t>
    </r>
    <r>
      <rPr>
        <b/>
        <sz val="11"/>
        <rFont val="Arial"/>
        <family val="2"/>
        <charset val="1"/>
      </rPr>
      <t>7.300/sqm</t>
    </r>
  </si>
  <si>
    <r>
      <rPr>
        <sz val="11"/>
        <rFont val="Arial"/>
        <family val="2"/>
        <charset val="1"/>
      </rPr>
      <t xml:space="preserve">Apollo Flex FR 300 G/MV 3.2 x 55 mtr  </t>
    </r>
    <r>
      <rPr>
        <b/>
        <sz val="11"/>
        <rFont val="Arial"/>
        <family val="2"/>
        <charset val="1"/>
      </rPr>
      <t>6.800/sqm</t>
    </r>
  </si>
  <si>
    <r>
      <rPr>
        <sz val="11"/>
        <rFont val="Arial"/>
        <family val="2"/>
        <charset val="1"/>
      </rPr>
      <t xml:space="preserve">Halead BL 510 G 2.2 x 55 mtr </t>
    </r>
    <r>
      <rPr>
        <b/>
        <sz val="11"/>
        <rFont val="Arial"/>
        <family val="2"/>
        <charset val="1"/>
      </rPr>
      <t xml:space="preserve"> 20.500/sqm</t>
    </r>
  </si>
  <si>
    <r>
      <rPr>
        <sz val="11"/>
        <rFont val="Arial"/>
        <family val="2"/>
        <charset val="1"/>
      </rPr>
      <t xml:space="preserve">Halead BL 510 G 3.2 x 55 mtr </t>
    </r>
    <r>
      <rPr>
        <b/>
        <sz val="11"/>
        <rFont val="Arial"/>
        <family val="2"/>
        <charset val="1"/>
      </rPr>
      <t xml:space="preserve"> 20.500/sqm</t>
    </r>
  </si>
  <si>
    <r>
      <rPr>
        <sz val="11"/>
        <rFont val="Arial"/>
        <family val="2"/>
        <charset val="1"/>
      </rPr>
      <t xml:space="preserve">Halead FR 383 MS/S 3.2 x 65 mtr  </t>
    </r>
    <r>
      <rPr>
        <b/>
        <sz val="11"/>
        <rFont val="Arial"/>
        <family val="2"/>
        <charset val="1"/>
      </rPr>
      <t>9.100/sqm</t>
    </r>
  </si>
  <si>
    <r>
      <rPr>
        <sz val="11"/>
        <rFont val="Arial"/>
        <family val="2"/>
        <charset val="1"/>
      </rPr>
      <t xml:space="preserve">Halead FR 440 MS 2.6 x 55 mtr  </t>
    </r>
    <r>
      <rPr>
        <b/>
        <sz val="11"/>
        <rFont val="Arial"/>
        <family val="2"/>
        <charset val="1"/>
      </rPr>
      <t>11.300/sqm</t>
    </r>
  </si>
  <si>
    <r>
      <rPr>
        <sz val="11"/>
        <rFont val="Arial"/>
        <family val="2"/>
        <charset val="1"/>
      </rPr>
      <t xml:space="preserve">Halead FR 440 MS 3.2 x 55 mtr  </t>
    </r>
    <r>
      <rPr>
        <b/>
        <sz val="11"/>
        <rFont val="Arial"/>
        <family val="2"/>
        <charset val="1"/>
      </rPr>
      <t>11.300/sqm</t>
    </r>
  </si>
  <si>
    <r>
      <rPr>
        <sz val="11"/>
        <rFont val="Arial"/>
        <family val="2"/>
        <charset val="1"/>
      </rPr>
      <t xml:space="preserve">Halead BL 610 M 2.2 x 55 mtr </t>
    </r>
    <r>
      <rPr>
        <b/>
        <sz val="11"/>
        <rFont val="Arial"/>
        <family val="2"/>
        <charset val="1"/>
      </rPr>
      <t xml:space="preserve"> 22.972,97/sqm</t>
    </r>
  </si>
  <si>
    <r>
      <rPr>
        <sz val="11"/>
        <rFont val="Arial"/>
        <family val="2"/>
        <charset val="1"/>
      </rPr>
      <t xml:space="preserve">Halead BL 610 M 3.2 x 55 mtr </t>
    </r>
    <r>
      <rPr>
        <b/>
        <sz val="11"/>
        <rFont val="Arial"/>
        <family val="2"/>
        <charset val="1"/>
      </rPr>
      <t xml:space="preserve"> 22.972,97/sqm</t>
    </r>
  </si>
  <si>
    <r>
      <rPr>
        <sz val="11"/>
        <rFont val="Arial"/>
        <family val="2"/>
        <charset val="1"/>
      </rPr>
      <t xml:space="preserve">RiJet M100 White Gloss Perm 1.05 x 50 mtr  </t>
    </r>
    <r>
      <rPr>
        <b/>
        <sz val="11"/>
        <rFont val="Arial"/>
        <family val="2"/>
        <charset val="1"/>
      </rPr>
      <t>22.500/sqm</t>
    </r>
  </si>
  <si>
    <r>
      <rPr>
        <sz val="11"/>
        <rFont val="Arial"/>
        <family val="2"/>
        <charset val="1"/>
      </rPr>
      <t xml:space="preserve">RiJet M100 White Gloss Perm 1.26 x 50 mtr  </t>
    </r>
    <r>
      <rPr>
        <b/>
        <sz val="11"/>
        <rFont val="Arial"/>
        <family val="2"/>
        <charset val="1"/>
      </rPr>
      <t>22.500/sqm</t>
    </r>
  </si>
  <si>
    <r>
      <rPr>
        <sz val="11"/>
        <rFont val="Arial"/>
        <family val="2"/>
        <charset val="1"/>
      </rPr>
      <t xml:space="preserve">RiJet M100 White Gloss Perm 1.55 x 50 mtr  </t>
    </r>
    <r>
      <rPr>
        <b/>
        <sz val="11"/>
        <rFont val="Arial"/>
        <family val="2"/>
        <charset val="1"/>
      </rPr>
      <t>22.500/sqm</t>
    </r>
  </si>
  <si>
    <r>
      <rPr>
        <sz val="11"/>
        <rFont val="Arial"/>
        <family val="2"/>
        <charset val="1"/>
      </rPr>
      <t xml:space="preserve">RiJet M80 White Matte Perm 1.05 x 50 mtr  </t>
    </r>
    <r>
      <rPr>
        <b/>
        <sz val="11"/>
        <rFont val="Arial"/>
        <family val="2"/>
        <charset val="1"/>
      </rPr>
      <t>25.000/sqm</t>
    </r>
  </si>
  <si>
    <r>
      <rPr>
        <sz val="11"/>
        <rFont val="Arial"/>
        <family val="2"/>
        <charset val="1"/>
      </rPr>
      <t xml:space="preserve">RiJet M80 White Matte Perm 1.26 x 50 mtr  </t>
    </r>
    <r>
      <rPr>
        <b/>
        <sz val="11"/>
        <rFont val="Arial"/>
        <family val="2"/>
        <charset val="1"/>
      </rPr>
      <t>25.000/sqm</t>
    </r>
  </si>
  <si>
    <r>
      <rPr>
        <sz val="11"/>
        <rFont val="Arial"/>
        <family val="2"/>
        <charset val="1"/>
      </rPr>
      <t xml:space="preserve">RiJet M80 White Matte Perm 1.55 x 50 mtr  </t>
    </r>
    <r>
      <rPr>
        <b/>
        <sz val="11"/>
        <rFont val="Arial"/>
        <family val="2"/>
        <charset val="1"/>
      </rPr>
      <t>25.000/sqm</t>
    </r>
  </si>
  <si>
    <r>
      <rPr>
        <sz val="11"/>
        <rFont val="Arial"/>
        <family val="2"/>
        <charset val="1"/>
      </rPr>
      <t xml:space="preserve">RiJet M80 Clear Gloss Perm 1.05 x 50 mtr  </t>
    </r>
    <r>
      <rPr>
        <b/>
        <sz val="11"/>
        <rFont val="Arial"/>
        <family val="2"/>
        <charset val="1"/>
      </rPr>
      <t>22.500/sqm</t>
    </r>
  </si>
  <si>
    <r>
      <rPr>
        <sz val="11"/>
        <rFont val="Arial"/>
        <family val="2"/>
        <charset val="1"/>
      </rPr>
      <t xml:space="preserve">ProView PR-140/20R Oneway V 1.52 x 50 mtr  </t>
    </r>
    <r>
      <rPr>
        <b/>
        <sz val="11"/>
        <rFont val="Arial"/>
        <family val="2"/>
        <charset val="1"/>
      </rPr>
      <t>26.500/sqm</t>
    </r>
  </si>
  <si>
    <t>Sticker Chromo Lintec Prime Cast 325 x 485 mm</t>
  </si>
  <si>
    <r>
      <rPr>
        <sz val="11"/>
        <rFont val="Arial"/>
        <family val="2"/>
        <charset val="1"/>
      </rPr>
      <t xml:space="preserve">ProLam V70LG/FL 1.07 x 50 mtr  </t>
    </r>
    <r>
      <rPr>
        <b/>
        <sz val="11"/>
        <rFont val="Arial"/>
        <family val="2"/>
        <charset val="1"/>
      </rPr>
      <t>6.486,49/sqm</t>
    </r>
  </si>
  <si>
    <t>FP : 04002600012828952</t>
  </si>
  <si>
    <t>Tinta DTF Promax 1 kg Ink Cyan</t>
  </si>
  <si>
    <t>Tinta DTF Promax 1 kg Ink Magenta</t>
  </si>
  <si>
    <t>Jaya Sejahtera, PT</t>
  </si>
  <si>
    <t>FP : 04002600004398651</t>
  </si>
  <si>
    <t>Akrilik Bening 2 mm</t>
  </si>
  <si>
    <t>Akrilik Bening 3 mm</t>
  </si>
  <si>
    <t>Mulia Mandiri Supply, PT</t>
  </si>
  <si>
    <t>FP : 04002600014524131</t>
  </si>
  <si>
    <t>Tinta SC-F7070 Cyan</t>
  </si>
  <si>
    <t>Tinta SC-F7070 Magenta</t>
  </si>
  <si>
    <t>Tinta SC-F7070 Yellow</t>
  </si>
  <si>
    <t>Tinta SC-F6070/7070/9070 XBK</t>
  </si>
  <si>
    <t>Ongkir</t>
  </si>
  <si>
    <t>Mitra Sejati, CV</t>
  </si>
  <si>
    <t>FP : 04002600050757691</t>
  </si>
  <si>
    <t>Plastik 35 x50 x 03</t>
  </si>
  <si>
    <t>Plastik 40 x60 x 03</t>
  </si>
  <si>
    <t>Plastik Roll 15 x 03</t>
  </si>
  <si>
    <t>Tas Super 033 / Jumbo</t>
  </si>
  <si>
    <t>Tas Super 03 Apollo</t>
  </si>
  <si>
    <t>Sukses Sejati Computama, CV</t>
  </si>
  <si>
    <t>FP : 04002600005227845</t>
  </si>
  <si>
    <t>Acer AG14-72P-38GD Silver + Tas</t>
  </si>
  <si>
    <t>Wisno</t>
  </si>
  <si>
    <t>CPU + Monitor Compaq (second)</t>
  </si>
  <si>
    <t>FP : 04002600006276349</t>
  </si>
  <si>
    <t>Attaya Global Visindo, PT</t>
  </si>
  <si>
    <t>FP : 04002600009537264</t>
  </si>
  <si>
    <r>
      <rPr>
        <sz val="11"/>
        <rFont val="Arial"/>
        <family val="2"/>
        <charset val="1"/>
      </rPr>
      <t>Quantac ID Card  i</t>
    </r>
    <r>
      <rPr>
        <i/>
        <sz val="11"/>
        <rFont val="Arial"/>
        <family val="2"/>
        <charset val="1"/>
      </rPr>
      <t xml:space="preserve">si </t>
    </r>
    <r>
      <rPr>
        <b/>
        <i/>
        <sz val="11"/>
        <rFont val="Arial"/>
        <family val="2"/>
        <charset val="1"/>
      </rPr>
      <t>50 lbr per box</t>
    </r>
    <r>
      <rPr>
        <sz val="11"/>
        <rFont val="Arial"/>
        <family val="2"/>
        <charset val="1"/>
      </rPr>
      <t xml:space="preserve"> </t>
    </r>
    <r>
      <rPr>
        <b/>
        <sz val="11"/>
        <rFont val="Arial"/>
        <family val="2"/>
        <charset val="1"/>
      </rPr>
      <t>12.000/lbr</t>
    </r>
  </si>
  <si>
    <r>
      <rPr>
        <sz val="11"/>
        <rFont val="Arial"/>
        <family val="2"/>
        <charset val="1"/>
      </rPr>
      <t xml:space="preserve">Quantac Matte SKBP </t>
    </r>
    <r>
      <rPr>
        <i/>
        <sz val="11"/>
        <rFont val="Arial"/>
        <family val="2"/>
        <charset val="1"/>
      </rPr>
      <t xml:space="preserve">isi </t>
    </r>
    <r>
      <rPr>
        <b/>
        <i/>
        <sz val="11"/>
        <rFont val="Arial"/>
        <family val="2"/>
        <charset val="1"/>
      </rPr>
      <t>100 lbr per box  2.850/lbr</t>
    </r>
  </si>
  <si>
    <r>
      <rPr>
        <sz val="11"/>
        <rFont val="Arial"/>
        <family val="2"/>
        <charset val="1"/>
      </rPr>
      <t xml:space="preserve">Quantac Glossy SKBP </t>
    </r>
    <r>
      <rPr>
        <i/>
        <sz val="11"/>
        <rFont val="Arial"/>
        <family val="2"/>
        <charset val="1"/>
      </rPr>
      <t xml:space="preserve">isi </t>
    </r>
    <r>
      <rPr>
        <b/>
        <i/>
        <sz val="11"/>
        <rFont val="Arial"/>
        <family val="2"/>
        <charset val="1"/>
      </rPr>
      <t>100 lbr per box</t>
    </r>
    <r>
      <rPr>
        <i/>
        <sz val="11"/>
        <rFont val="Arial"/>
        <family val="2"/>
        <charset val="1"/>
      </rPr>
      <t xml:space="preserve">  </t>
    </r>
    <r>
      <rPr>
        <b/>
        <i/>
        <sz val="11"/>
        <rFont val="Arial"/>
        <family val="2"/>
        <charset val="1"/>
      </rPr>
      <t>2.850/lbr</t>
    </r>
  </si>
  <si>
    <r>
      <rPr>
        <sz val="11"/>
        <rFont val="Arial"/>
        <family val="2"/>
        <charset val="1"/>
      </rPr>
      <t xml:space="preserve">Novajet LMO 125  </t>
    </r>
    <r>
      <rPr>
        <i/>
        <sz val="11"/>
        <rFont val="Arial"/>
        <family val="2"/>
        <charset val="1"/>
      </rPr>
      <t xml:space="preserve">isi </t>
    </r>
    <r>
      <rPr>
        <b/>
        <i/>
        <sz val="11"/>
        <rFont val="Arial"/>
        <family val="2"/>
        <charset val="1"/>
      </rPr>
      <t>200 lbr per box  5.700/lbr</t>
    </r>
  </si>
  <si>
    <t>FP : 04002600008942764</t>
  </si>
  <si>
    <t>Baut 12 x 25</t>
  </si>
  <si>
    <t>Baut 16 x 20</t>
  </si>
  <si>
    <t>FP : 04002600015931055</t>
  </si>
  <si>
    <t>Adhyajaya Teknik Sejahtera, PT</t>
  </si>
  <si>
    <t>FP : 04002600009819036</t>
  </si>
  <si>
    <t>Perawatan kompresor :</t>
  </si>
  <si>
    <t>Air Filter</t>
  </si>
  <si>
    <t>Oli Filter</t>
  </si>
  <si>
    <t>Carbon Remover</t>
  </si>
  <si>
    <t>Oil Separator</t>
  </si>
  <si>
    <t>FP : 04002600027799482</t>
  </si>
  <si>
    <t>FP : 04002600018831162</t>
  </si>
  <si>
    <r>
      <rPr>
        <sz val="11"/>
        <rFont val="Arial"/>
        <family val="2"/>
        <charset val="1"/>
      </rPr>
      <t xml:space="preserve">Mirror Flag Banner 2.0 x 260 mtr  </t>
    </r>
    <r>
      <rPr>
        <b/>
        <sz val="11"/>
        <rFont val="Arial"/>
        <family val="2"/>
        <charset val="1"/>
      </rPr>
      <t>6.306,31/sqm</t>
    </r>
  </si>
  <si>
    <r>
      <rPr>
        <sz val="11"/>
        <rFont val="Arial"/>
        <family val="2"/>
        <charset val="1"/>
      </rPr>
      <t xml:space="preserve">Mirror Flag Banner 1.82 x 260 mtr  </t>
    </r>
    <r>
      <rPr>
        <b/>
        <sz val="11"/>
        <rFont val="Arial"/>
        <family val="2"/>
        <charset val="1"/>
      </rPr>
      <t>6.306,31/sqm</t>
    </r>
  </si>
  <si>
    <t>FP : 04002600027799490</t>
  </si>
  <si>
    <r>
      <rPr>
        <sz val="11"/>
        <rFont val="Arial"/>
        <family val="2"/>
        <charset val="1"/>
      </rPr>
      <t xml:space="preserve">Tinta UV TK68 Yellow  </t>
    </r>
    <r>
      <rPr>
        <b/>
        <sz val="11"/>
        <rFont val="Arial"/>
        <family val="2"/>
        <charset val="1"/>
      </rPr>
      <t>1.126.126,13/ltr</t>
    </r>
  </si>
  <si>
    <t>Tinta Sublinova Sensible 1 kg Cyan</t>
  </si>
  <si>
    <t>Tinta Sublinova Sensible 1 kg Yellow</t>
  </si>
  <si>
    <t>FP : 04002600023320783</t>
  </si>
  <si>
    <t>Andrew Kurnia</t>
  </si>
  <si>
    <t>Power Supply Esko</t>
  </si>
  <si>
    <t>FP : 04002600023320688</t>
  </si>
  <si>
    <t>Akrilik Bening 5 mm</t>
  </si>
  <si>
    <t>Multi Prima Karya Sejati, PT</t>
  </si>
  <si>
    <t>FP : 04002600038223385</t>
  </si>
  <si>
    <t>Laminating PLF25 330mm x 400 mtr</t>
  </si>
  <si>
    <t>Laminating PLC24 330mm x 400 mtr</t>
  </si>
  <si>
    <t>FP : 04002600023320809</t>
  </si>
  <si>
    <t>Akrilik Susu 2 mm</t>
  </si>
  <si>
    <t>Damper Kit Epson</t>
  </si>
  <si>
    <t>FP : 04002600038219271</t>
  </si>
  <si>
    <t>FP : 04002600026713398</t>
  </si>
  <si>
    <t>Tube 4 Line E5113</t>
  </si>
  <si>
    <t>FP : 04002600026713426</t>
  </si>
  <si>
    <t>Capping Epson 3200</t>
  </si>
  <si>
    <t>Damper Epson 3200</t>
  </si>
  <si>
    <t xml:space="preserve"> </t>
  </si>
  <si>
    <t>- Kolom M untuk HPP Penjualan</t>
  </si>
  <si>
    <t>- Kolom N Pembelian barang2 yg disusut</t>
  </si>
  <si>
    <t>- Kolom O Pembelian yg masuk sbg Biaya-Biaya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</si>
</sst>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mm/yy"/>
    <numFmt numFmtId="166" formatCode="_(* #,##0_);_(* \(#,##0\);_(* \-_);_(@_)"/>
    <numFmt numFmtId="167" formatCode="mmm\ d&quot;, &quot;yy"/>
    <numFmt numFmtId="168" formatCode="_(* #,##0.00_);_(* \(#,##0.00\);_(* \-??_);_(@_)"/>
    <numFmt numFmtId="169" formatCode="_(* #,##0.00_);_(* \(#,##0.00\);_(* \-_);_(@_)"/>
    <numFmt numFmtId="170" formatCode="d\-mmm\-yy;@"/>
  </numFmts>
  <fonts count="13" x14ac:knownFonts="1">
    <font>
      <sz val="10"/>
      <name val="Arial"/>
      <family val="2"/>
      <charset val="1"/>
    </font>
    <font>
      <b/>
      <sz val="18"/>
      <name val="Arial"/>
      <family val="2"/>
      <charset val="1"/>
    </font>
    <font>
      <sz val="18"/>
      <name val="Arial"/>
      <family val="2"/>
      <charset val="1"/>
    </font>
    <font>
      <sz val="12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i/>
      <sz val="11"/>
      <color rgb="FFFF0000"/>
      <name val="Arial"/>
      <family val="2"/>
      <charset val="1"/>
    </font>
    <font>
      <i/>
      <sz val="11"/>
      <name val="Arial"/>
      <family val="2"/>
      <charset val="1"/>
    </font>
    <font>
      <b/>
      <i/>
      <sz val="11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168" fontId="12" fillId="0" borderId="0" applyBorder="0" applyProtection="0"/>
    <xf numFmtId="164" fontId="12" fillId="0" borderId="0" applyBorder="0" applyProtection="0"/>
    <xf numFmtId="166" fontId="12" fillId="0" borderId="0" applyBorder="0" applyProtection="0"/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4" fontId="0" fillId="0" borderId="0" xfId="2" applyFont="1" applyBorder="1" applyAlignment="1" applyProtection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0" fillId="0" borderId="0" xfId="3" applyFont="1" applyBorder="1" applyAlignment="1" applyProtection="1">
      <alignment horizontal="center" vertical="center"/>
    </xf>
    <xf numFmtId="0" fontId="3" fillId="0" borderId="0" xfId="0" applyFont="1" applyAlignment="1">
      <alignment horizontal="left" vertical="center"/>
    </xf>
    <xf numFmtId="164" fontId="4" fillId="0" borderId="5" xfId="2" applyFont="1" applyBorder="1" applyAlignment="1" applyProtection="1">
      <alignment horizontal="center" vertical="center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164" fontId="4" fillId="0" borderId="9" xfId="2" applyFont="1" applyBorder="1" applyAlignment="1" applyProtection="1">
      <alignment horizontal="center" vertical="center"/>
    </xf>
    <xf numFmtId="10" fontId="4" fillId="0" borderId="9" xfId="2" applyNumberFormat="1" applyFont="1" applyBorder="1" applyAlignment="1" applyProtection="1">
      <alignment horizontal="center" vertical="center"/>
    </xf>
    <xf numFmtId="164" fontId="4" fillId="0" borderId="9" xfId="0" applyNumberFormat="1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7" fontId="6" fillId="0" borderId="14" xfId="0" applyNumberFormat="1" applyFont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69" fontId="6" fillId="0" borderId="16" xfId="1" applyNumberFormat="1" applyFont="1" applyBorder="1" applyAlignment="1" applyProtection="1">
      <alignment vertical="center"/>
    </xf>
    <xf numFmtId="166" fontId="8" fillId="0" borderId="14" xfId="3" applyFont="1" applyBorder="1" applyAlignment="1" applyProtection="1">
      <alignment horizontal="right" vertical="center"/>
    </xf>
    <xf numFmtId="166" fontId="8" fillId="0" borderId="16" xfId="3" applyFont="1" applyBorder="1" applyAlignment="1" applyProtection="1">
      <alignment horizontal="right" vertical="center"/>
    </xf>
    <xf numFmtId="166" fontId="7" fillId="0" borderId="17" xfId="3" applyFont="1" applyBorder="1" applyAlignment="1" applyProtection="1">
      <alignment horizontal="right" vertical="center"/>
    </xf>
    <xf numFmtId="166" fontId="7" fillId="0" borderId="13" xfId="3" applyFont="1" applyBorder="1" applyAlignment="1" applyProtection="1">
      <alignment horizontal="right" vertical="center"/>
    </xf>
    <xf numFmtId="166" fontId="7" fillId="0" borderId="14" xfId="3" applyFont="1" applyBorder="1" applyAlignment="1" applyProtection="1">
      <alignment horizontal="right" vertical="center"/>
    </xf>
    <xf numFmtId="0" fontId="12" fillId="0" borderId="17" xfId="3" applyNumberFormat="1" applyBorder="1" applyAlignment="1">
      <alignment horizontal="center" vertical="center"/>
    </xf>
    <xf numFmtId="0" fontId="12" fillId="0" borderId="13" xfId="3" applyNumberForma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170" fontId="8" fillId="0" borderId="14" xfId="0" applyNumberFormat="1" applyFont="1" applyBorder="1" applyAlignment="1">
      <alignment vertical="center"/>
    </xf>
    <xf numFmtId="0" fontId="4" fillId="0" borderId="16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6" fontId="8" fillId="0" borderId="0" xfId="0" applyNumberFormat="1" applyFont="1" applyAlignment="1">
      <alignment horizontal="right" vertical="center"/>
    </xf>
    <xf numFmtId="169" fontId="6" fillId="0" borderId="14" xfId="0" applyNumberFormat="1" applyFont="1" applyBorder="1" applyAlignment="1">
      <alignment horizontal="right" vertical="center"/>
    </xf>
    <xf numFmtId="166" fontId="7" fillId="0" borderId="0" xfId="3" applyFont="1" applyBorder="1" applyAlignment="1" applyProtection="1">
      <alignment horizontal="right" vertical="center"/>
    </xf>
    <xf numFmtId="166" fontId="4" fillId="0" borderId="18" xfId="3" applyFont="1" applyBorder="1" applyAlignment="1" applyProtection="1">
      <alignment horizontal="center" vertical="center"/>
    </xf>
    <xf numFmtId="166" fontId="4" fillId="0" borderId="0" xfId="3" applyFont="1" applyBorder="1" applyAlignment="1" applyProtection="1">
      <alignment horizontal="center" vertical="center"/>
    </xf>
    <xf numFmtId="166" fontId="4" fillId="0" borderId="17" xfId="3" applyFont="1" applyBorder="1" applyAlignment="1" applyProtection="1">
      <alignment horizontal="center" vertical="center"/>
    </xf>
    <xf numFmtId="0" fontId="7" fillId="0" borderId="16" xfId="0" applyFont="1" applyBorder="1" applyAlignment="1">
      <alignment horizontal="left" vertical="center"/>
    </xf>
    <xf numFmtId="169" fontId="6" fillId="0" borderId="14" xfId="3" applyNumberFormat="1" applyFont="1" applyBorder="1" applyAlignment="1" applyProtection="1">
      <alignment vertical="center"/>
    </xf>
    <xf numFmtId="166" fontId="4" fillId="0" borderId="13" xfId="3" applyFont="1" applyBorder="1" applyAlignment="1" applyProtection="1">
      <alignment horizontal="center" vertical="center"/>
    </xf>
    <xf numFmtId="169" fontId="6" fillId="0" borderId="14" xfId="3" applyNumberFormat="1" applyFont="1" applyBorder="1" applyAlignment="1" applyProtection="1">
      <alignment horizontal="right" vertical="center"/>
    </xf>
    <xf numFmtId="169" fontId="6" fillId="0" borderId="16" xfId="3" applyNumberFormat="1" applyFont="1" applyBorder="1" applyAlignment="1" applyProtection="1">
      <alignment vertical="center"/>
    </xf>
    <xf numFmtId="166" fontId="8" fillId="0" borderId="0" xfId="3" applyFont="1" applyBorder="1" applyAlignment="1" applyProtection="1">
      <alignment horizontal="right" vertical="center"/>
    </xf>
    <xf numFmtId="166" fontId="8" fillId="0" borderId="19" xfId="3" applyFont="1" applyBorder="1" applyAlignment="1" applyProtection="1">
      <alignment horizontal="right" vertical="center"/>
    </xf>
    <xf numFmtId="166" fontId="8" fillId="0" borderId="20" xfId="0" applyNumberFormat="1" applyFont="1" applyBorder="1" applyAlignment="1">
      <alignment horizontal="right" vertical="center"/>
    </xf>
    <xf numFmtId="169" fontId="8" fillId="0" borderId="14" xfId="3" applyNumberFormat="1" applyFont="1" applyBorder="1" applyAlignment="1" applyProtection="1">
      <alignment horizontal="right" vertical="center" indent="1"/>
    </xf>
    <xf numFmtId="0" fontId="4" fillId="0" borderId="14" xfId="0" applyFont="1" applyBorder="1" applyAlignment="1">
      <alignment horizontal="left" vertical="center"/>
    </xf>
    <xf numFmtId="166" fontId="6" fillId="0" borderId="0" xfId="3" applyFont="1" applyBorder="1" applyAlignment="1" applyProtection="1">
      <alignment horizontal="right" vertical="center"/>
    </xf>
    <xf numFmtId="166" fontId="6" fillId="0" borderId="21" xfId="3" applyFont="1" applyBorder="1" applyAlignment="1" applyProtection="1">
      <alignment horizontal="right" vertical="center"/>
    </xf>
    <xf numFmtId="0" fontId="8" fillId="0" borderId="14" xfId="0" applyFont="1" applyBorder="1" applyAlignment="1">
      <alignment horizontal="left" vertical="center"/>
    </xf>
    <xf numFmtId="169" fontId="6" fillId="0" borderId="16" xfId="3" applyNumberFormat="1" applyFont="1" applyBorder="1" applyAlignment="1" applyProtection="1">
      <alignment horizontal="right" vertical="center"/>
    </xf>
    <xf numFmtId="166" fontId="6" fillId="0" borderId="19" xfId="3" applyFont="1" applyBorder="1" applyAlignment="1" applyProtection="1">
      <alignment horizontal="right" vertical="center"/>
    </xf>
    <xf numFmtId="170" fontId="9" fillId="0" borderId="14" xfId="0" applyNumberFormat="1" applyFont="1" applyBorder="1" applyAlignment="1">
      <alignment vertical="center"/>
    </xf>
    <xf numFmtId="169" fontId="6" fillId="0" borderId="20" xfId="0" applyNumberFormat="1" applyFont="1" applyBorder="1" applyAlignment="1">
      <alignment horizontal="right" vertical="center"/>
    </xf>
    <xf numFmtId="169" fontId="6" fillId="0" borderId="20" xfId="3" applyNumberFormat="1" applyFont="1" applyBorder="1" applyAlignment="1" applyProtection="1">
      <alignment horizontal="right" vertical="center"/>
    </xf>
    <xf numFmtId="166" fontId="6" fillId="0" borderId="20" xfId="0" applyNumberFormat="1" applyFont="1" applyBorder="1" applyAlignment="1">
      <alignment horizontal="right" vertical="center"/>
    </xf>
    <xf numFmtId="166" fontId="6" fillId="0" borderId="16" xfId="3" applyFont="1" applyBorder="1" applyAlignment="1" applyProtection="1">
      <alignment vertical="center"/>
    </xf>
    <xf numFmtId="166" fontId="8" fillId="0" borderId="20" xfId="3" applyFont="1" applyBorder="1" applyAlignment="1" applyProtection="1">
      <alignment horizontal="right" vertical="center"/>
    </xf>
    <xf numFmtId="166" fontId="6" fillId="0" borderId="20" xfId="3" applyFont="1" applyBorder="1" applyAlignment="1" applyProtection="1">
      <alignment horizontal="right" vertical="center"/>
    </xf>
    <xf numFmtId="169" fontId="6" fillId="0" borderId="0" xfId="3" applyNumberFormat="1" applyFont="1" applyBorder="1" applyAlignment="1" applyProtection="1">
      <alignment vertical="center"/>
    </xf>
    <xf numFmtId="166" fontId="6" fillId="0" borderId="14" xfId="0" applyNumberFormat="1" applyFont="1" applyBorder="1" applyAlignment="1">
      <alignment horizontal="right" vertical="center"/>
    </xf>
    <xf numFmtId="0" fontId="6" fillId="0" borderId="22" xfId="3" applyNumberFormat="1" applyFont="1" applyBorder="1" applyAlignment="1">
      <alignment vertical="center"/>
    </xf>
    <xf numFmtId="170" fontId="6" fillId="0" borderId="23" xfId="3" applyNumberFormat="1" applyFont="1" applyBorder="1" applyAlignment="1">
      <alignment horizontal="right" vertical="center"/>
    </xf>
    <xf numFmtId="0" fontId="4" fillId="0" borderId="23" xfId="3" applyNumberFormat="1" applyFont="1" applyBorder="1" applyAlignment="1">
      <alignment horizontal="left" vertical="center"/>
    </xf>
    <xf numFmtId="0" fontId="6" fillId="0" borderId="23" xfId="3" applyNumberFormat="1" applyFont="1" applyBorder="1" applyAlignment="1">
      <alignment horizontal="left" vertical="center"/>
    </xf>
    <xf numFmtId="166" fontId="6" fillId="0" borderId="23" xfId="3" applyFont="1" applyBorder="1" applyAlignment="1" applyProtection="1">
      <alignment horizontal="right" vertical="center"/>
    </xf>
    <xf numFmtId="166" fontId="6" fillId="0" borderId="24" xfId="3" applyFont="1" applyBorder="1" applyAlignment="1" applyProtection="1">
      <alignment horizontal="right" vertical="center"/>
    </xf>
    <xf numFmtId="166" fontId="4" fillId="0" borderId="24" xfId="3" applyFont="1" applyBorder="1" applyAlignment="1" applyProtection="1">
      <alignment horizontal="right" vertical="center"/>
    </xf>
    <xf numFmtId="166" fontId="4" fillId="0" borderId="22" xfId="3" applyFont="1" applyBorder="1" applyAlignment="1" applyProtection="1">
      <alignment horizontal="right" vertical="center"/>
    </xf>
    <xf numFmtId="166" fontId="4" fillId="0" borderId="23" xfId="3" applyFont="1" applyBorder="1" applyAlignment="1" applyProtection="1">
      <alignment horizontal="right" vertical="center"/>
    </xf>
    <xf numFmtId="166" fontId="4" fillId="0" borderId="3" xfId="3" applyFont="1" applyBorder="1" applyAlignment="1" applyProtection="1">
      <alignment horizontal="right" vertical="center"/>
    </xf>
    <xf numFmtId="166" fontId="4" fillId="0" borderId="1" xfId="3" applyFont="1" applyBorder="1" applyAlignment="1" applyProtection="1">
      <alignment horizontal="right" vertical="center"/>
    </xf>
    <xf numFmtId="0" fontId="6" fillId="0" borderId="0" xfId="0" applyFont="1" applyAlignment="1">
      <alignment horizontal="left" vertical="center"/>
    </xf>
    <xf numFmtId="166" fontId="6" fillId="0" borderId="0" xfId="3" applyFont="1" applyBorder="1" applyAlignment="1" applyProtection="1">
      <alignment horizontal="left" vertical="center"/>
    </xf>
    <xf numFmtId="0" fontId="4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69" fontId="6" fillId="0" borderId="0" xfId="3" applyNumberFormat="1" applyFont="1" applyBorder="1" applyAlignment="1" applyProtection="1">
      <alignment horizontal="right" vertical="center"/>
    </xf>
    <xf numFmtId="166" fontId="4" fillId="0" borderId="0" xfId="3" applyFont="1" applyBorder="1" applyAlignment="1" applyProtection="1">
      <alignment horizontal="left" vertical="center"/>
    </xf>
    <xf numFmtId="166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164" fontId="6" fillId="0" borderId="0" xfId="2" applyFont="1" applyBorder="1" applyAlignment="1" applyProtection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3" applyNumberFormat="1" applyFont="1" applyAlignment="1">
      <alignment horizontal="right" vertical="center"/>
    </xf>
    <xf numFmtId="0" fontId="6" fillId="0" borderId="13" xfId="3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4" xfId="2" applyFont="1" applyBorder="1" applyAlignment="1" applyProtection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Explanatory Text" xfId="3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34"/>
  <sheetViews>
    <sheetView tabSelected="1" topLeftCell="A4" zoomScale="130" zoomScaleNormal="130" workbookViewId="0">
      <pane ySplit="3" topLeftCell="A7" activePane="bottomLeft" state="frozen"/>
      <selection activeCell="B4" sqref="B4"/>
      <selection pane="bottomLeft" activeCell="F12" sqref="F12"/>
    </sheetView>
  </sheetViews>
  <sheetFormatPr baseColWidth="10" defaultColWidth="8.83203125" defaultRowHeight="13" x14ac:dyDescent="0.15"/>
  <cols>
    <col min="1" max="1" width="5.83203125" style="1" customWidth="1"/>
    <col min="2" max="3" width="10.83203125" style="1" customWidth="1"/>
    <col min="4" max="4" width="27.83203125" style="1" customWidth="1"/>
    <col min="5" max="5" width="23.83203125" style="1" customWidth="1"/>
    <col min="6" max="6" width="52.83203125" style="2" customWidth="1"/>
    <col min="7" max="7" width="8.83203125" style="2" customWidth="1"/>
    <col min="8" max="8" width="14.83203125" style="3" customWidth="1"/>
    <col min="9" max="11" width="14.83203125" style="4" customWidth="1"/>
    <col min="12" max="12" width="16.83203125" style="5" customWidth="1"/>
    <col min="13" max="17" width="16.83203125" style="2" customWidth="1"/>
    <col min="18" max="1025" width="9.1640625" style="2" customWidth="1"/>
  </cols>
  <sheetData>
    <row r="1" spans="1:17" s="6" customFormat="1" ht="18" customHeight="1" x14ac:dyDescent="0.1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7" s="7" customFormat="1" ht="18" customHeight="1" x14ac:dyDescent="0.15">
      <c r="A2" s="98">
        <v>46053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7" s="9" customFormat="1" ht="18" customHeight="1" x14ac:dyDescent="0.15">
      <c r="A3" s="1"/>
      <c r="B3" s="8"/>
      <c r="C3" s="8"/>
      <c r="D3" s="1"/>
      <c r="E3" s="1"/>
      <c r="F3" s="2"/>
      <c r="G3" s="1"/>
      <c r="H3" s="3"/>
      <c r="I3" s="4"/>
      <c r="J3" s="4"/>
      <c r="K3" s="4"/>
      <c r="L3" s="5"/>
      <c r="M3" s="2"/>
      <c r="N3" s="2"/>
    </row>
    <row r="4" spans="1:17" s="13" customFormat="1" ht="18" customHeight="1" x14ac:dyDescent="0.15">
      <c r="A4" s="99" t="s">
        <v>1</v>
      </c>
      <c r="B4" s="99" t="s">
        <v>2</v>
      </c>
      <c r="C4" s="99"/>
      <c r="D4" s="100" t="s">
        <v>3</v>
      </c>
      <c r="E4" s="101" t="s">
        <v>4</v>
      </c>
      <c r="F4" s="105" t="s">
        <v>5</v>
      </c>
      <c r="G4" s="99" t="s">
        <v>6</v>
      </c>
      <c r="H4" s="102" t="s">
        <v>7</v>
      </c>
      <c r="I4" s="103" t="s">
        <v>8</v>
      </c>
      <c r="J4" s="103"/>
      <c r="K4" s="10" t="s">
        <v>9</v>
      </c>
      <c r="L4" s="11" t="s">
        <v>10</v>
      </c>
      <c r="M4" s="12" t="s">
        <v>11</v>
      </c>
      <c r="N4" s="104" t="s">
        <v>12</v>
      </c>
      <c r="O4" s="104"/>
      <c r="P4" s="96" t="s">
        <v>13</v>
      </c>
      <c r="Q4" s="96"/>
    </row>
    <row r="5" spans="1:17" s="13" customFormat="1" ht="18" customHeight="1" x14ac:dyDescent="0.15">
      <c r="A5" s="99"/>
      <c r="B5" s="14" t="s">
        <v>14</v>
      </c>
      <c r="C5" s="14" t="s">
        <v>15</v>
      </c>
      <c r="D5" s="100"/>
      <c r="E5" s="101"/>
      <c r="F5" s="105"/>
      <c r="G5" s="99"/>
      <c r="H5" s="102"/>
      <c r="I5" s="15" t="s">
        <v>16</v>
      </c>
      <c r="J5" s="15" t="s">
        <v>17</v>
      </c>
      <c r="K5" s="16">
        <v>0.11</v>
      </c>
      <c r="L5" s="17" t="s">
        <v>18</v>
      </c>
      <c r="M5" s="18" t="s">
        <v>19</v>
      </c>
      <c r="N5" s="19" t="s">
        <v>20</v>
      </c>
      <c r="O5" s="20" t="s">
        <v>21</v>
      </c>
      <c r="P5" s="21" t="s">
        <v>22</v>
      </c>
      <c r="Q5" s="22" t="s">
        <v>23</v>
      </c>
    </row>
    <row r="6" spans="1:17" ht="18" customHeight="1" x14ac:dyDescent="0.15">
      <c r="A6" s="23"/>
      <c r="B6" s="24"/>
      <c r="C6" s="25"/>
      <c r="D6" s="26"/>
      <c r="E6" s="27"/>
      <c r="F6" s="28"/>
      <c r="G6" s="29"/>
      <c r="H6" s="30"/>
      <c r="I6" s="31"/>
      <c r="J6" s="32"/>
      <c r="K6" s="32"/>
      <c r="L6" s="33"/>
      <c r="M6" s="34"/>
      <c r="N6" s="35"/>
      <c r="O6" s="36"/>
      <c r="P6" s="37"/>
      <c r="Q6" s="36"/>
    </row>
    <row r="7" spans="1:17" ht="18" customHeight="1" x14ac:dyDescent="0.15">
      <c r="A7" s="38"/>
      <c r="B7" s="39"/>
      <c r="C7" s="39"/>
      <c r="D7" s="40"/>
      <c r="E7" s="41"/>
      <c r="F7" s="42"/>
      <c r="G7" s="43"/>
      <c r="H7" s="44"/>
      <c r="I7" s="31"/>
      <c r="J7" s="43"/>
      <c r="K7" s="32"/>
      <c r="L7" s="33"/>
      <c r="M7" s="45"/>
      <c r="N7" s="35"/>
      <c r="O7" s="46"/>
      <c r="P7" s="47"/>
      <c r="Q7" s="48"/>
    </row>
    <row r="8" spans="1:17" ht="18" customHeight="1" x14ac:dyDescent="0.15">
      <c r="A8" s="38">
        <v>1</v>
      </c>
      <c r="B8" s="39">
        <v>46027</v>
      </c>
      <c r="C8" s="39">
        <v>46027</v>
      </c>
      <c r="D8" s="49" t="s">
        <v>24</v>
      </c>
      <c r="E8" s="41" t="s">
        <v>25</v>
      </c>
      <c r="F8" s="42" t="s">
        <v>26</v>
      </c>
      <c r="G8" s="43">
        <v>1</v>
      </c>
      <c r="H8" s="50">
        <f>100/111*550000000</f>
        <v>495495495.4954955</v>
      </c>
      <c r="I8" s="31">
        <f>G8*H8</f>
        <v>495495495.4954955</v>
      </c>
      <c r="J8" s="43">
        <f>I8</f>
        <v>495495495.4954955</v>
      </c>
      <c r="K8" s="32">
        <f>$K$5*J8</f>
        <v>54504504.504504502</v>
      </c>
      <c r="L8" s="33">
        <f>J8+K8</f>
        <v>550000000</v>
      </c>
      <c r="M8" s="34">
        <f>L8-K8</f>
        <v>495495495.4954955</v>
      </c>
      <c r="N8" s="35">
        <v>0</v>
      </c>
      <c r="O8" s="48">
        <v>0</v>
      </c>
      <c r="P8" s="51">
        <v>0</v>
      </c>
      <c r="Q8" s="48">
        <f>L8-P8</f>
        <v>550000000</v>
      </c>
    </row>
    <row r="9" spans="1:17" ht="18" customHeight="1" x14ac:dyDescent="0.15">
      <c r="A9" s="38"/>
      <c r="B9" s="39"/>
      <c r="C9" s="39"/>
      <c r="D9" s="40"/>
      <c r="E9" s="41"/>
      <c r="F9" s="42"/>
      <c r="G9" s="43"/>
      <c r="H9" s="52"/>
      <c r="I9" s="31"/>
      <c r="J9" s="43"/>
      <c r="K9" s="32"/>
      <c r="L9" s="33"/>
      <c r="M9" s="45"/>
      <c r="N9" s="35"/>
      <c r="O9" s="46"/>
      <c r="P9" s="47"/>
      <c r="Q9" s="48"/>
    </row>
    <row r="10" spans="1:17" ht="18" customHeight="1" x14ac:dyDescent="0.15">
      <c r="A10" s="38">
        <v>2</v>
      </c>
      <c r="B10" s="39">
        <v>46027</v>
      </c>
      <c r="C10" s="39">
        <v>46027</v>
      </c>
      <c r="D10" s="49" t="s">
        <v>24</v>
      </c>
      <c r="E10" s="41" t="s">
        <v>27</v>
      </c>
      <c r="F10" s="42" t="s">
        <v>28</v>
      </c>
      <c r="G10" s="31">
        <v>21</v>
      </c>
      <c r="H10" s="53">
        <f>100/111*120000</f>
        <v>108108.10810810811</v>
      </c>
      <c r="I10" s="31">
        <f>G10*H10</f>
        <v>2270270.2702702703</v>
      </c>
      <c r="J10" s="43"/>
      <c r="K10" s="32"/>
      <c r="L10" s="33"/>
      <c r="M10" s="45"/>
      <c r="N10" s="35"/>
      <c r="O10" s="46"/>
      <c r="P10" s="47"/>
      <c r="Q10" s="48"/>
    </row>
    <row r="11" spans="1:17" ht="18" customHeight="1" x14ac:dyDescent="0.15">
      <c r="A11" s="38"/>
      <c r="B11" s="39"/>
      <c r="C11" s="39"/>
      <c r="D11" s="40"/>
      <c r="E11" s="41"/>
      <c r="F11" s="42" t="s">
        <v>29</v>
      </c>
      <c r="G11" s="43">
        <v>10</v>
      </c>
      <c r="H11" s="53">
        <f>100/111*720000</f>
        <v>648648.64864864864</v>
      </c>
      <c r="I11" s="31">
        <f>G11*H11</f>
        <v>6486486.4864864862</v>
      </c>
      <c r="J11" s="43"/>
      <c r="K11" s="32"/>
      <c r="L11" s="33"/>
      <c r="M11" s="45"/>
      <c r="N11" s="35"/>
      <c r="O11" s="46"/>
      <c r="P11" s="47"/>
      <c r="Q11" s="48"/>
    </row>
    <row r="12" spans="1:17" ht="18" customHeight="1" x14ac:dyDescent="0.15">
      <c r="A12" s="38"/>
      <c r="B12" s="39"/>
      <c r="C12" s="39"/>
      <c r="D12" s="40"/>
      <c r="E12" s="41"/>
      <c r="F12" s="42" t="s">
        <v>30</v>
      </c>
      <c r="G12" s="54">
        <v>20</v>
      </c>
      <c r="H12" s="53">
        <f>100/111*300000</f>
        <v>270270.2702702703</v>
      </c>
      <c r="I12" s="55">
        <f>G12*H12</f>
        <v>5405405.4054054059</v>
      </c>
      <c r="J12" s="43"/>
      <c r="K12" s="32"/>
      <c r="L12" s="33"/>
      <c r="M12" s="45"/>
      <c r="N12" s="35"/>
      <c r="O12" s="46"/>
      <c r="P12" s="47"/>
      <c r="Q12" s="48"/>
    </row>
    <row r="13" spans="1:17" ht="18" customHeight="1" x14ac:dyDescent="0.15">
      <c r="A13" s="38"/>
      <c r="B13" s="39"/>
      <c r="C13" s="39"/>
      <c r="D13" s="40"/>
      <c r="E13" s="41"/>
      <c r="F13" s="42"/>
      <c r="G13" s="43"/>
      <c r="H13" s="52"/>
      <c r="I13" s="31"/>
      <c r="J13" s="43">
        <f>SUM(I10:I12)</f>
        <v>14162162.162162162</v>
      </c>
      <c r="K13" s="32">
        <f>$K$5*J13</f>
        <v>1557837.8378378379</v>
      </c>
      <c r="L13" s="33">
        <f>J13+K13</f>
        <v>15720000</v>
      </c>
      <c r="M13" s="34">
        <f>L13-K13</f>
        <v>14162162.162162162</v>
      </c>
      <c r="N13" s="35">
        <v>0</v>
      </c>
      <c r="O13" s="48">
        <v>0</v>
      </c>
      <c r="P13" s="51">
        <v>0</v>
      </c>
      <c r="Q13" s="48">
        <f>L13-P13</f>
        <v>15720000</v>
      </c>
    </row>
    <row r="14" spans="1:17" ht="18" customHeight="1" x14ac:dyDescent="0.15">
      <c r="A14" s="38"/>
      <c r="B14" s="39"/>
      <c r="C14" s="39"/>
      <c r="D14" s="40"/>
      <c r="E14" s="41"/>
      <c r="F14" s="42"/>
      <c r="G14" s="43"/>
      <c r="H14" s="52"/>
      <c r="I14" s="31"/>
      <c r="J14" s="43"/>
      <c r="K14" s="32"/>
      <c r="L14" s="33"/>
      <c r="M14" s="45"/>
      <c r="N14" s="35"/>
      <c r="O14" s="46"/>
      <c r="P14" s="47"/>
      <c r="Q14" s="48"/>
    </row>
    <row r="15" spans="1:17" ht="18" customHeight="1" x14ac:dyDescent="0.15">
      <c r="A15" s="38">
        <v>3</v>
      </c>
      <c r="B15" s="39">
        <v>46028</v>
      </c>
      <c r="C15" s="39">
        <v>46028</v>
      </c>
      <c r="D15" s="49" t="s">
        <v>24</v>
      </c>
      <c r="E15" s="41" t="s">
        <v>31</v>
      </c>
      <c r="F15" s="42" t="s">
        <v>28</v>
      </c>
      <c r="G15" s="31">
        <v>9</v>
      </c>
      <c r="H15" s="53">
        <f>100/111*120000</f>
        <v>108108.10810810811</v>
      </c>
      <c r="I15" s="31">
        <f t="shared" ref="I15:I20" si="0">G15*H15</f>
        <v>972972.97297297302</v>
      </c>
      <c r="J15" s="43"/>
      <c r="K15" s="32"/>
      <c r="L15" s="33"/>
      <c r="M15" s="45"/>
      <c r="N15" s="35"/>
      <c r="O15" s="46"/>
      <c r="P15" s="47"/>
      <c r="Q15" s="48"/>
    </row>
    <row r="16" spans="1:17" ht="18" customHeight="1" x14ac:dyDescent="0.15">
      <c r="A16" s="38"/>
      <c r="B16" s="39"/>
      <c r="C16" s="39"/>
      <c r="D16" s="40"/>
      <c r="E16" s="41"/>
      <c r="F16" s="42" t="s">
        <v>32</v>
      </c>
      <c r="G16" s="56">
        <v>1</v>
      </c>
      <c r="H16" s="53">
        <f>100/111*300000</f>
        <v>270270.2702702703</v>
      </c>
      <c r="I16" s="31">
        <f t="shared" si="0"/>
        <v>270270.2702702703</v>
      </c>
      <c r="J16" s="43"/>
      <c r="K16" s="32"/>
      <c r="L16" s="33"/>
      <c r="M16" s="45"/>
      <c r="N16" s="35"/>
      <c r="O16" s="46"/>
      <c r="P16" s="47"/>
      <c r="Q16" s="48"/>
    </row>
    <row r="17" spans="1:17" ht="18" customHeight="1" x14ac:dyDescent="0.15">
      <c r="A17" s="38"/>
      <c r="B17" s="39"/>
      <c r="C17" s="39"/>
      <c r="D17" s="40"/>
      <c r="E17" s="41"/>
      <c r="F17" s="42" t="s">
        <v>33</v>
      </c>
      <c r="G17" s="56">
        <v>1</v>
      </c>
      <c r="H17" s="53">
        <f>100/111*300000</f>
        <v>270270.2702702703</v>
      </c>
      <c r="I17" s="31">
        <f t="shared" si="0"/>
        <v>270270.2702702703</v>
      </c>
      <c r="J17" s="43"/>
      <c r="K17" s="32"/>
      <c r="L17" s="33"/>
      <c r="M17" s="45"/>
      <c r="N17" s="35"/>
      <c r="O17" s="46"/>
      <c r="P17" s="47"/>
      <c r="Q17" s="48"/>
    </row>
    <row r="18" spans="1:17" ht="18" customHeight="1" x14ac:dyDescent="0.15">
      <c r="A18" s="38"/>
      <c r="B18" s="39"/>
      <c r="C18" s="39"/>
      <c r="D18" s="40"/>
      <c r="E18" s="41"/>
      <c r="F18" s="42" t="s">
        <v>34</v>
      </c>
      <c r="G18" s="56">
        <v>1</v>
      </c>
      <c r="H18" s="53">
        <f>100/111*300000</f>
        <v>270270.2702702703</v>
      </c>
      <c r="I18" s="31">
        <f t="shared" si="0"/>
        <v>270270.2702702703</v>
      </c>
      <c r="J18" s="43"/>
      <c r="K18" s="32"/>
      <c r="L18" s="33"/>
      <c r="M18" s="45"/>
      <c r="N18" s="35"/>
      <c r="O18" s="46"/>
      <c r="P18" s="47"/>
      <c r="Q18" s="48"/>
    </row>
    <row r="19" spans="1:17" ht="18" customHeight="1" x14ac:dyDescent="0.15">
      <c r="A19" s="38"/>
      <c r="B19" s="39"/>
      <c r="C19" s="39"/>
      <c r="D19" s="40"/>
      <c r="E19" s="41"/>
      <c r="F19" s="42" t="s">
        <v>35</v>
      </c>
      <c r="G19" s="56">
        <v>1</v>
      </c>
      <c r="H19" s="53">
        <f>100/111*300000</f>
        <v>270270.2702702703</v>
      </c>
      <c r="I19" s="31">
        <f t="shared" si="0"/>
        <v>270270.2702702703</v>
      </c>
      <c r="J19" s="43"/>
      <c r="K19" s="32"/>
      <c r="L19" s="33"/>
      <c r="M19" s="45"/>
      <c r="N19" s="35"/>
      <c r="O19" s="46"/>
      <c r="P19" s="47"/>
      <c r="Q19" s="48"/>
    </row>
    <row r="20" spans="1:17" ht="18" customHeight="1" x14ac:dyDescent="0.15">
      <c r="A20" s="38"/>
      <c r="B20" s="39"/>
      <c r="C20" s="39"/>
      <c r="D20" s="40"/>
      <c r="E20" s="41"/>
      <c r="F20" s="42" t="s">
        <v>36</v>
      </c>
      <c r="G20" s="56">
        <v>2</v>
      </c>
      <c r="H20" s="53">
        <f>100/111*200000</f>
        <v>180180.18018018018</v>
      </c>
      <c r="I20" s="55">
        <f t="shared" si="0"/>
        <v>360360.36036036036</v>
      </c>
      <c r="J20" s="43"/>
      <c r="K20" s="32"/>
      <c r="L20" s="33"/>
      <c r="M20" s="45"/>
      <c r="N20" s="35"/>
      <c r="O20" s="46"/>
      <c r="P20" s="47"/>
      <c r="Q20" s="48"/>
    </row>
    <row r="21" spans="1:17" ht="18" customHeight="1" x14ac:dyDescent="0.15">
      <c r="A21" s="38"/>
      <c r="B21" s="39"/>
      <c r="C21" s="39"/>
      <c r="D21" s="40"/>
      <c r="E21" s="41"/>
      <c r="F21" s="42"/>
      <c r="G21" s="43"/>
      <c r="H21" s="52"/>
      <c r="I21" s="31"/>
      <c r="J21" s="43">
        <f>SUM(I15:I20)</f>
        <v>2414414.4144144147</v>
      </c>
      <c r="K21" s="32">
        <f>$K$5*J21</f>
        <v>265585.58558558562</v>
      </c>
      <c r="L21" s="33">
        <f>J21+K21</f>
        <v>2680000.0000000005</v>
      </c>
      <c r="M21" s="34">
        <f>L21-K21</f>
        <v>2414414.4144144147</v>
      </c>
      <c r="N21" s="35">
        <v>0</v>
      </c>
      <c r="O21" s="48">
        <v>0</v>
      </c>
      <c r="P21" s="51">
        <v>0</v>
      </c>
      <c r="Q21" s="48">
        <f>L21-P21</f>
        <v>2680000.0000000005</v>
      </c>
    </row>
    <row r="22" spans="1:17" ht="18" customHeight="1" x14ac:dyDescent="0.15">
      <c r="A22" s="38"/>
      <c r="B22" s="39"/>
      <c r="C22" s="39"/>
      <c r="D22" s="40"/>
      <c r="E22" s="41"/>
      <c r="F22" s="42"/>
      <c r="G22" s="43"/>
      <c r="H22" s="52"/>
      <c r="I22" s="31"/>
      <c r="J22" s="43"/>
      <c r="K22" s="32"/>
      <c r="L22" s="33"/>
      <c r="M22" s="45"/>
      <c r="N22" s="35"/>
      <c r="O22" s="46"/>
      <c r="P22" s="47"/>
      <c r="Q22" s="48"/>
    </row>
    <row r="23" spans="1:17" ht="18" customHeight="1" x14ac:dyDescent="0.15">
      <c r="A23" s="38">
        <v>4</v>
      </c>
      <c r="B23" s="39">
        <v>46028</v>
      </c>
      <c r="C23" s="39">
        <v>46028</v>
      </c>
      <c r="D23" s="49" t="s">
        <v>24</v>
      </c>
      <c r="E23" s="41" t="s">
        <v>37</v>
      </c>
      <c r="F23" s="42" t="s">
        <v>38</v>
      </c>
      <c r="G23" s="31">
        <v>4</v>
      </c>
      <c r="H23" s="57">
        <f>5*126126.126</f>
        <v>630630.63</v>
      </c>
      <c r="I23" s="31">
        <f t="shared" ref="I23:I29" si="1">G23*H23</f>
        <v>2522522.52</v>
      </c>
      <c r="J23" s="43"/>
      <c r="K23" s="32"/>
      <c r="L23" s="33"/>
      <c r="M23" s="34"/>
      <c r="N23" s="35"/>
      <c r="O23" s="48"/>
      <c r="P23" s="51"/>
      <c r="Q23" s="48"/>
    </row>
    <row r="24" spans="1:17" ht="18" customHeight="1" x14ac:dyDescent="0.15">
      <c r="A24" s="38"/>
      <c r="B24" s="39"/>
      <c r="C24" s="39"/>
      <c r="D24" s="40"/>
      <c r="E24" s="41"/>
      <c r="F24" s="42" t="s">
        <v>39</v>
      </c>
      <c r="G24" s="31">
        <v>3</v>
      </c>
      <c r="H24" s="57">
        <f>5*126126.126</f>
        <v>630630.63</v>
      </c>
      <c r="I24" s="31">
        <f t="shared" si="1"/>
        <v>1891891.8900000001</v>
      </c>
      <c r="J24" s="43"/>
      <c r="K24" s="32"/>
      <c r="L24" s="33"/>
      <c r="M24" s="45"/>
      <c r="N24" s="35"/>
      <c r="O24" s="46"/>
      <c r="P24" s="47"/>
      <c r="Q24" s="48"/>
    </row>
    <row r="25" spans="1:17" ht="18" customHeight="1" x14ac:dyDescent="0.15">
      <c r="A25" s="38"/>
      <c r="B25" s="39"/>
      <c r="C25" s="39"/>
      <c r="D25" s="40"/>
      <c r="E25" s="41"/>
      <c r="F25" s="42" t="s">
        <v>40</v>
      </c>
      <c r="G25" s="31">
        <v>4</v>
      </c>
      <c r="H25" s="57">
        <f>5*126126.126</f>
        <v>630630.63</v>
      </c>
      <c r="I25" s="31">
        <f t="shared" si="1"/>
        <v>2522522.52</v>
      </c>
      <c r="J25" s="43"/>
      <c r="K25" s="32"/>
      <c r="L25" s="33"/>
      <c r="M25" s="45"/>
      <c r="N25" s="35"/>
      <c r="O25" s="46"/>
      <c r="P25" s="47"/>
      <c r="Q25" s="48"/>
    </row>
    <row r="26" spans="1:17" ht="18" customHeight="1" x14ac:dyDescent="0.15">
      <c r="A26" s="38"/>
      <c r="B26" s="39"/>
      <c r="C26" s="39"/>
      <c r="D26" s="40"/>
      <c r="E26" s="41"/>
      <c r="F26" s="42" t="s">
        <v>41</v>
      </c>
      <c r="G26" s="31">
        <v>2</v>
      </c>
      <c r="H26" s="57">
        <f>5*126126.126</f>
        <v>630630.63</v>
      </c>
      <c r="I26" s="31">
        <f t="shared" si="1"/>
        <v>1261261.26</v>
      </c>
      <c r="J26" s="43"/>
      <c r="K26" s="32"/>
      <c r="L26" s="33"/>
      <c r="M26" s="34"/>
      <c r="N26" s="35"/>
      <c r="O26" s="48"/>
      <c r="P26" s="51"/>
      <c r="Q26" s="48"/>
    </row>
    <row r="27" spans="1:17" ht="18" customHeight="1" x14ac:dyDescent="0.15">
      <c r="A27" s="38"/>
      <c r="B27" s="39"/>
      <c r="C27" s="39"/>
      <c r="D27" s="41"/>
      <c r="E27" s="41"/>
      <c r="F27" s="42" t="s">
        <v>42</v>
      </c>
      <c r="G27" s="31">
        <v>1</v>
      </c>
      <c r="H27" s="53">
        <f>100/111*1250000</f>
        <v>1126126.1261261262</v>
      </c>
      <c r="I27" s="31">
        <f t="shared" si="1"/>
        <v>1126126.1261261262</v>
      </c>
      <c r="J27" s="32"/>
      <c r="K27" s="32"/>
      <c r="L27" s="33"/>
      <c r="M27" s="34"/>
      <c r="N27" s="35"/>
      <c r="O27" s="48"/>
      <c r="P27" s="51"/>
      <c r="Q27" s="48"/>
    </row>
    <row r="28" spans="1:17" ht="18" customHeight="1" x14ac:dyDescent="0.15">
      <c r="A28" s="38"/>
      <c r="B28" s="39"/>
      <c r="C28" s="39"/>
      <c r="D28" s="49"/>
      <c r="E28" s="41"/>
      <c r="F28" s="42" t="s">
        <v>43</v>
      </c>
      <c r="G28" s="31">
        <v>1</v>
      </c>
      <c r="H28" s="53">
        <f>100/111*1250000</f>
        <v>1126126.1261261262</v>
      </c>
      <c r="I28" s="31">
        <f t="shared" si="1"/>
        <v>1126126.1261261262</v>
      </c>
      <c r="J28" s="32"/>
      <c r="K28" s="32"/>
      <c r="L28" s="33"/>
      <c r="M28" s="34"/>
      <c r="N28" s="35"/>
      <c r="O28" s="48"/>
      <c r="P28" s="51"/>
      <c r="Q28" s="48"/>
    </row>
    <row r="29" spans="1:17" ht="18" customHeight="1" x14ac:dyDescent="0.15">
      <c r="A29" s="38"/>
      <c r="B29" s="39"/>
      <c r="C29" s="39"/>
      <c r="D29" s="40"/>
      <c r="E29" s="41"/>
      <c r="F29" s="42" t="s">
        <v>44</v>
      </c>
      <c r="G29" s="31">
        <v>3</v>
      </c>
      <c r="H29" s="53">
        <f>100/111*1450000</f>
        <v>1306306.3063063063</v>
      </c>
      <c r="I29" s="55">
        <f t="shared" si="1"/>
        <v>3918918.9189189188</v>
      </c>
      <c r="J29" s="31"/>
      <c r="K29" s="32"/>
      <c r="L29" s="33"/>
      <c r="M29" s="34"/>
      <c r="N29" s="35"/>
      <c r="O29" s="48"/>
      <c r="P29" s="51"/>
      <c r="Q29" s="48"/>
    </row>
    <row r="30" spans="1:17" ht="18" customHeight="1" x14ac:dyDescent="0.15">
      <c r="A30" s="38"/>
      <c r="B30" s="39"/>
      <c r="C30" s="39"/>
      <c r="D30" s="41"/>
      <c r="E30" s="41"/>
      <c r="F30" s="42"/>
      <c r="G30" s="43"/>
      <c r="H30" s="52"/>
      <c r="I30" s="31"/>
      <c r="J30" s="32">
        <f>SUM(I23:I29)</f>
        <v>14369369.361171169</v>
      </c>
      <c r="K30" s="32">
        <f>$K$5*J30</f>
        <v>1580630.6297288286</v>
      </c>
      <c r="L30" s="33">
        <f>J30+K30</f>
        <v>15949999.990899999</v>
      </c>
      <c r="M30" s="34">
        <f>L30-K30</f>
        <v>14369369.361171171</v>
      </c>
      <c r="N30" s="35">
        <v>0</v>
      </c>
      <c r="O30" s="48">
        <v>0</v>
      </c>
      <c r="P30" s="51">
        <v>0</v>
      </c>
      <c r="Q30" s="48">
        <f>L30-P30</f>
        <v>15949999.990899999</v>
      </c>
    </row>
    <row r="31" spans="1:17" ht="18" customHeight="1" x14ac:dyDescent="0.15">
      <c r="A31" s="38"/>
      <c r="B31" s="39"/>
      <c r="C31" s="39"/>
      <c r="D31" s="41"/>
      <c r="E31" s="41"/>
      <c r="F31" s="42"/>
      <c r="G31" s="43"/>
      <c r="H31" s="52"/>
      <c r="I31" s="31"/>
      <c r="J31" s="32"/>
      <c r="K31" s="32"/>
      <c r="L31" s="33"/>
      <c r="M31" s="34"/>
      <c r="N31" s="35"/>
      <c r="O31" s="48"/>
      <c r="P31" s="51"/>
      <c r="Q31" s="48"/>
    </row>
    <row r="32" spans="1:17" ht="18" customHeight="1" x14ac:dyDescent="0.15">
      <c r="A32" s="38"/>
      <c r="B32" s="39"/>
      <c r="C32" s="39"/>
      <c r="D32" s="41"/>
      <c r="E32" s="41"/>
      <c r="F32" s="42"/>
      <c r="G32" s="43"/>
      <c r="H32" s="44"/>
      <c r="I32" s="31"/>
      <c r="J32" s="32"/>
      <c r="K32" s="32"/>
      <c r="L32" s="33"/>
      <c r="M32" s="34"/>
      <c r="N32" s="35"/>
      <c r="O32" s="48"/>
      <c r="P32" s="51"/>
      <c r="Q32" s="48"/>
    </row>
    <row r="33" spans="1:17" ht="18" customHeight="1" x14ac:dyDescent="0.15">
      <c r="A33" s="38">
        <v>6</v>
      </c>
      <c r="B33" s="39">
        <v>46028</v>
      </c>
      <c r="C33" s="39">
        <v>46028</v>
      </c>
      <c r="D33" s="41" t="s">
        <v>46</v>
      </c>
      <c r="E33" s="41" t="s">
        <v>47</v>
      </c>
      <c r="F33" s="42" t="s">
        <v>48</v>
      </c>
      <c r="G33" s="56">
        <v>1500</v>
      </c>
      <c r="H33" s="53">
        <f>100/111*4050</f>
        <v>3648.6486486486488</v>
      </c>
      <c r="I33" s="31">
        <f>G33*H33</f>
        <v>5472972.9729729732</v>
      </c>
      <c r="J33" s="32">
        <f>I33</f>
        <v>5472972.9729729732</v>
      </c>
      <c r="K33" s="32">
        <f>$K$5*J33</f>
        <v>602027.0270270271</v>
      </c>
      <c r="L33" s="33">
        <f>J33+K33</f>
        <v>6075000</v>
      </c>
      <c r="M33" s="34">
        <f>L33-K33</f>
        <v>5472972.9729729732</v>
      </c>
      <c r="N33" s="35">
        <v>0</v>
      </c>
      <c r="O33" s="48">
        <v>0</v>
      </c>
      <c r="P33" s="51">
        <v>0</v>
      </c>
      <c r="Q33" s="48">
        <f>L33-P33</f>
        <v>6075000</v>
      </c>
    </row>
    <row r="34" spans="1:17" ht="18" customHeight="1" x14ac:dyDescent="0.15">
      <c r="A34" s="38"/>
      <c r="B34" s="39"/>
      <c r="C34" s="39"/>
      <c r="D34" s="41"/>
      <c r="E34" s="41"/>
      <c r="F34" s="42"/>
      <c r="G34" s="43"/>
      <c r="H34" s="44"/>
      <c r="I34" s="31"/>
      <c r="J34" s="32"/>
      <c r="K34" s="32"/>
      <c r="L34" s="33"/>
      <c r="M34" s="34"/>
      <c r="N34" s="35"/>
      <c r="O34" s="48"/>
      <c r="P34" s="51"/>
      <c r="Q34" s="48"/>
    </row>
    <row r="35" spans="1:17" ht="18" customHeight="1" x14ac:dyDescent="0.15">
      <c r="A35" s="38">
        <v>7</v>
      </c>
      <c r="B35" s="39">
        <v>46028</v>
      </c>
      <c r="C35" s="39">
        <v>46028</v>
      </c>
      <c r="D35" s="41" t="s">
        <v>49</v>
      </c>
      <c r="E35" s="41" t="s">
        <v>50</v>
      </c>
      <c r="F35" s="42" t="s">
        <v>51</v>
      </c>
      <c r="G35" s="59">
        <v>86335</v>
      </c>
      <c r="H35" s="52"/>
      <c r="I35" s="31"/>
      <c r="J35" s="31"/>
      <c r="K35" s="32"/>
      <c r="L35" s="33"/>
      <c r="M35" s="34"/>
      <c r="N35" s="35"/>
      <c r="O35" s="48"/>
      <c r="P35" s="51"/>
      <c r="Q35" s="48"/>
    </row>
    <row r="36" spans="1:17" ht="18" customHeight="1" x14ac:dyDescent="0.15">
      <c r="A36" s="38"/>
      <c r="B36" s="39"/>
      <c r="C36" s="39"/>
      <c r="D36" s="41"/>
      <c r="E36" s="41"/>
      <c r="F36" s="42" t="s">
        <v>52</v>
      </c>
      <c r="G36" s="60">
        <v>863</v>
      </c>
      <c r="H36" s="52"/>
      <c r="I36" s="31"/>
      <c r="J36" s="31"/>
      <c r="K36" s="32"/>
      <c r="L36" s="33"/>
      <c r="M36" s="34"/>
      <c r="N36" s="35"/>
      <c r="O36" s="48"/>
      <c r="P36" s="51"/>
      <c r="Q36" s="48"/>
    </row>
    <row r="37" spans="1:17" ht="18" customHeight="1" x14ac:dyDescent="0.15">
      <c r="A37" s="38"/>
      <c r="B37" s="39"/>
      <c r="C37" s="39"/>
      <c r="D37" s="41"/>
      <c r="E37" s="61"/>
      <c r="F37" s="42"/>
      <c r="G37" s="59">
        <f>G35-G36</f>
        <v>85472</v>
      </c>
      <c r="H37" s="52">
        <v>668</v>
      </c>
      <c r="I37" s="31">
        <f>G37*H37</f>
        <v>57095296</v>
      </c>
      <c r="J37" s="31"/>
      <c r="K37" s="32"/>
      <c r="L37" s="33"/>
      <c r="M37" s="34"/>
      <c r="N37" s="35"/>
      <c r="O37" s="48"/>
      <c r="P37" s="51"/>
      <c r="Q37" s="48"/>
    </row>
    <row r="38" spans="1:17" ht="18" customHeight="1" x14ac:dyDescent="0.15">
      <c r="A38" s="38"/>
      <c r="B38" s="39"/>
      <c r="C38" s="39"/>
      <c r="D38" s="41"/>
      <c r="E38" s="61"/>
      <c r="F38" s="42" t="s">
        <v>53</v>
      </c>
      <c r="G38" s="59">
        <v>4397</v>
      </c>
      <c r="H38" s="52"/>
      <c r="I38" s="31"/>
      <c r="J38" s="31"/>
      <c r="K38" s="32"/>
      <c r="L38" s="33"/>
      <c r="M38" s="34"/>
      <c r="N38" s="35"/>
      <c r="O38" s="48"/>
      <c r="P38" s="51"/>
      <c r="Q38" s="48"/>
    </row>
    <row r="39" spans="1:17" ht="18" customHeight="1" x14ac:dyDescent="0.15">
      <c r="A39" s="38"/>
      <c r="B39" s="39"/>
      <c r="C39" s="39"/>
      <c r="D39" s="41"/>
      <c r="E39" s="61"/>
      <c r="F39" s="42" t="s">
        <v>52</v>
      </c>
      <c r="G39" s="60">
        <v>44</v>
      </c>
      <c r="H39" s="52"/>
      <c r="I39" s="31"/>
      <c r="J39" s="31"/>
      <c r="K39" s="32"/>
      <c r="L39" s="33"/>
      <c r="M39" s="34"/>
      <c r="N39" s="35"/>
      <c r="O39" s="48"/>
      <c r="P39" s="51"/>
      <c r="Q39" s="48"/>
    </row>
    <row r="40" spans="1:17" ht="18" customHeight="1" x14ac:dyDescent="0.15">
      <c r="A40" s="38"/>
      <c r="B40" s="39"/>
      <c r="C40" s="39"/>
      <c r="D40" s="41"/>
      <c r="E40" s="61"/>
      <c r="F40" s="42"/>
      <c r="G40" s="59">
        <f>G38-G39</f>
        <v>4353</v>
      </c>
      <c r="H40" s="52">
        <v>350</v>
      </c>
      <c r="I40" s="31">
        <f>G40*H40</f>
        <v>1523550</v>
      </c>
      <c r="J40" s="31"/>
      <c r="K40" s="32"/>
      <c r="L40" s="33"/>
      <c r="M40" s="34"/>
      <c r="N40" s="35"/>
      <c r="O40" s="48"/>
      <c r="P40" s="51"/>
      <c r="Q40" s="48"/>
    </row>
    <row r="41" spans="1:17" ht="18" customHeight="1" x14ac:dyDescent="0.15">
      <c r="A41" s="38"/>
      <c r="B41" s="39"/>
      <c r="C41" s="39"/>
      <c r="D41" s="41"/>
      <c r="E41" s="61"/>
      <c r="F41" s="42" t="s">
        <v>54</v>
      </c>
      <c r="G41" s="59">
        <v>382</v>
      </c>
      <c r="H41" s="52">
        <v>1337</v>
      </c>
      <c r="I41" s="55">
        <f>G41*H41</f>
        <v>510734</v>
      </c>
      <c r="J41" s="31"/>
      <c r="K41" s="32"/>
      <c r="L41" s="33"/>
      <c r="M41" s="34"/>
      <c r="N41" s="35"/>
      <c r="O41" s="48"/>
      <c r="P41" s="51"/>
      <c r="Q41" s="48"/>
    </row>
    <row r="42" spans="1:17" ht="18" customHeight="1" x14ac:dyDescent="0.15">
      <c r="A42" s="38"/>
      <c r="B42" s="39"/>
      <c r="C42" s="39"/>
      <c r="D42" s="41"/>
      <c r="E42" s="61"/>
      <c r="F42" s="42"/>
      <c r="G42" s="59"/>
      <c r="H42" s="52"/>
      <c r="I42" s="31"/>
      <c r="J42" s="31">
        <f>SUM(I37:I41)</f>
        <v>59129580</v>
      </c>
      <c r="K42" s="32">
        <v>6504254</v>
      </c>
      <c r="L42" s="33">
        <f>J42+K42</f>
        <v>65633834</v>
      </c>
      <c r="M42" s="34">
        <f>L42-K42</f>
        <v>59129580</v>
      </c>
      <c r="N42" s="35">
        <v>0</v>
      </c>
      <c r="O42" s="48">
        <v>0</v>
      </c>
      <c r="P42" s="51">
        <v>0</v>
      </c>
      <c r="Q42" s="48">
        <f>L42-P42</f>
        <v>65633834</v>
      </c>
    </row>
    <row r="43" spans="1:17" ht="18" customHeight="1" x14ac:dyDescent="0.15">
      <c r="A43" s="38"/>
      <c r="B43" s="39"/>
      <c r="C43" s="39"/>
      <c r="D43" s="58"/>
      <c r="E43" s="42"/>
      <c r="F43" s="42"/>
      <c r="G43" s="32"/>
      <c r="H43" s="52"/>
      <c r="I43" s="31"/>
      <c r="J43" s="31"/>
      <c r="K43" s="32"/>
      <c r="L43" s="33"/>
      <c r="M43" s="34"/>
      <c r="N43" s="35"/>
      <c r="O43" s="48"/>
      <c r="P43" s="51"/>
      <c r="Q43" s="48"/>
    </row>
    <row r="44" spans="1:17" ht="18" customHeight="1" x14ac:dyDescent="0.15">
      <c r="A44" s="38">
        <v>8</v>
      </c>
      <c r="B44" s="39">
        <v>46028</v>
      </c>
      <c r="C44" s="39">
        <v>46028</v>
      </c>
      <c r="D44" s="41" t="s">
        <v>49</v>
      </c>
      <c r="E44" s="41" t="s">
        <v>55</v>
      </c>
      <c r="F44" s="42" t="s">
        <v>56</v>
      </c>
      <c r="G44" s="59">
        <v>91272</v>
      </c>
      <c r="H44" s="62"/>
      <c r="I44" s="31"/>
      <c r="J44" s="31"/>
      <c r="K44" s="32"/>
      <c r="L44" s="33"/>
      <c r="M44" s="34"/>
      <c r="N44" s="35"/>
      <c r="O44" s="48"/>
      <c r="P44" s="51"/>
      <c r="Q44" s="48"/>
    </row>
    <row r="45" spans="1:17" ht="18" customHeight="1" x14ac:dyDescent="0.15">
      <c r="A45" s="38"/>
      <c r="B45" s="39"/>
      <c r="C45" s="39"/>
      <c r="D45" s="41"/>
      <c r="E45" s="41"/>
      <c r="F45" s="42" t="s">
        <v>52</v>
      </c>
      <c r="G45" s="63">
        <v>913</v>
      </c>
      <c r="H45" s="62"/>
      <c r="I45" s="31"/>
      <c r="J45" s="31"/>
      <c r="K45" s="32"/>
      <c r="L45" s="33"/>
      <c r="M45" s="34"/>
      <c r="N45" s="35"/>
      <c r="O45" s="48"/>
      <c r="P45" s="51"/>
      <c r="Q45" s="48"/>
    </row>
    <row r="46" spans="1:17" ht="18" customHeight="1" x14ac:dyDescent="0.15">
      <c r="A46" s="38"/>
      <c r="B46" s="39"/>
      <c r="C46" s="39"/>
      <c r="D46" s="41"/>
      <c r="E46" s="61"/>
      <c r="F46" s="42"/>
      <c r="G46" s="59">
        <f>G44-G45</f>
        <v>90359</v>
      </c>
      <c r="H46" s="62">
        <v>668</v>
      </c>
      <c r="I46" s="31">
        <f>G46*H46</f>
        <v>60359812</v>
      </c>
      <c r="J46" s="31"/>
      <c r="K46" s="32"/>
      <c r="L46" s="33"/>
      <c r="M46" s="34"/>
      <c r="N46" s="35"/>
      <c r="O46" s="48"/>
      <c r="P46" s="51"/>
      <c r="Q46" s="48"/>
    </row>
    <row r="47" spans="1:17" ht="18" customHeight="1" x14ac:dyDescent="0.15">
      <c r="A47" s="38"/>
      <c r="B47" s="39"/>
      <c r="C47" s="39"/>
      <c r="D47" s="41"/>
      <c r="E47" s="61"/>
      <c r="F47" s="42" t="s">
        <v>57</v>
      </c>
      <c r="G47" s="59">
        <v>22</v>
      </c>
      <c r="H47" s="62"/>
      <c r="I47" s="31"/>
      <c r="J47" s="31"/>
      <c r="K47" s="32"/>
      <c r="L47" s="33"/>
      <c r="M47" s="34"/>
      <c r="N47" s="35"/>
      <c r="O47" s="48"/>
      <c r="P47" s="51"/>
      <c r="Q47" s="48"/>
    </row>
    <row r="48" spans="1:17" ht="18" customHeight="1" x14ac:dyDescent="0.15">
      <c r="A48" s="38"/>
      <c r="B48" s="39"/>
      <c r="C48" s="39"/>
      <c r="D48" s="41"/>
      <c r="E48" s="61"/>
      <c r="F48" s="42" t="s">
        <v>52</v>
      </c>
      <c r="G48" s="63">
        <v>0</v>
      </c>
      <c r="H48" s="62"/>
      <c r="I48" s="31"/>
      <c r="J48" s="31"/>
      <c r="K48" s="32"/>
      <c r="L48" s="33"/>
      <c r="M48" s="34"/>
      <c r="N48" s="35"/>
      <c r="O48" s="48"/>
      <c r="P48" s="51"/>
      <c r="Q48" s="48"/>
    </row>
    <row r="49" spans="1:17" ht="18" customHeight="1" x14ac:dyDescent="0.15">
      <c r="A49" s="38"/>
      <c r="B49" s="39"/>
      <c r="C49" s="39"/>
      <c r="D49" s="49"/>
      <c r="E49" s="61"/>
      <c r="F49" s="42"/>
      <c r="G49" s="59">
        <f>G47-G48</f>
        <v>22</v>
      </c>
      <c r="H49" s="62">
        <v>350</v>
      </c>
      <c r="I49" s="31">
        <f>G49*H49</f>
        <v>7700</v>
      </c>
      <c r="J49" s="31"/>
      <c r="K49" s="32"/>
      <c r="L49" s="33"/>
      <c r="M49" s="34"/>
      <c r="N49" s="35"/>
      <c r="O49" s="48"/>
      <c r="P49" s="51"/>
      <c r="Q49" s="48"/>
    </row>
    <row r="50" spans="1:17" ht="18" customHeight="1" x14ac:dyDescent="0.15">
      <c r="A50" s="38"/>
      <c r="B50" s="39"/>
      <c r="C50" s="39"/>
      <c r="D50" s="49"/>
      <c r="E50" s="61"/>
      <c r="F50" s="42" t="s">
        <v>54</v>
      </c>
      <c r="G50" s="59">
        <v>154</v>
      </c>
      <c r="H50" s="62">
        <v>1337</v>
      </c>
      <c r="I50" s="55">
        <f>G50*H50</f>
        <v>205898</v>
      </c>
      <c r="J50" s="31"/>
      <c r="K50" s="32"/>
      <c r="L50" s="33"/>
      <c r="M50" s="34"/>
      <c r="N50" s="35"/>
      <c r="O50" s="48"/>
      <c r="P50" s="51"/>
      <c r="Q50" s="48"/>
    </row>
    <row r="51" spans="1:17" ht="18" customHeight="1" x14ac:dyDescent="0.15">
      <c r="A51" s="38"/>
      <c r="B51" s="39"/>
      <c r="C51" s="39"/>
      <c r="D51" s="49"/>
      <c r="E51" s="61"/>
      <c r="F51" s="42"/>
      <c r="G51" s="59"/>
      <c r="H51" s="62"/>
      <c r="I51" s="31"/>
      <c r="J51" s="31">
        <f>SUM(I46:I50)</f>
        <v>60573410</v>
      </c>
      <c r="K51" s="32">
        <v>6663075</v>
      </c>
      <c r="L51" s="33">
        <f>J51+K51</f>
        <v>67236485</v>
      </c>
      <c r="M51" s="34">
        <f>L51-K51</f>
        <v>60573410</v>
      </c>
      <c r="N51" s="35">
        <v>0</v>
      </c>
      <c r="O51" s="48">
        <v>0</v>
      </c>
      <c r="P51" s="51">
        <v>0</v>
      </c>
      <c r="Q51" s="48">
        <f>L51-P51</f>
        <v>67236485</v>
      </c>
    </row>
    <row r="52" spans="1:17" ht="18" customHeight="1" x14ac:dyDescent="0.15">
      <c r="A52" s="38"/>
      <c r="B52" s="39"/>
      <c r="C52" s="39"/>
      <c r="D52" s="40"/>
      <c r="E52" s="41"/>
      <c r="F52" s="42"/>
      <c r="G52" s="54"/>
      <c r="H52" s="62"/>
      <c r="I52" s="31"/>
      <c r="J52" s="43"/>
      <c r="K52" s="32"/>
      <c r="L52" s="33"/>
      <c r="M52" s="45"/>
      <c r="N52" s="35"/>
      <c r="O52" s="46"/>
      <c r="P52" s="47"/>
      <c r="Q52" s="48"/>
    </row>
    <row r="53" spans="1:17" ht="18" customHeight="1" x14ac:dyDescent="0.15">
      <c r="A53" s="38">
        <v>9</v>
      </c>
      <c r="B53" s="39">
        <v>46028</v>
      </c>
      <c r="C53" s="39">
        <v>46028</v>
      </c>
      <c r="D53" s="41" t="s">
        <v>58</v>
      </c>
      <c r="E53" s="41" t="s">
        <v>59</v>
      </c>
      <c r="F53" s="42" t="s">
        <v>60</v>
      </c>
      <c r="G53" s="56">
        <v>8</v>
      </c>
      <c r="H53" s="53">
        <v>450450.46</v>
      </c>
      <c r="I53" s="31">
        <f>G53*H53</f>
        <v>3603603.68</v>
      </c>
      <c r="J53" s="32">
        <f>I53</f>
        <v>3603603.68</v>
      </c>
      <c r="K53" s="32">
        <f>$K$5*J53</f>
        <v>396396.40480000002</v>
      </c>
      <c r="L53" s="33">
        <f>J53+K53</f>
        <v>4000000.0848000003</v>
      </c>
      <c r="M53" s="34">
        <f>L53-K53</f>
        <v>3603603.68</v>
      </c>
      <c r="N53" s="35">
        <v>0</v>
      </c>
      <c r="O53" s="48">
        <v>0</v>
      </c>
      <c r="P53" s="51">
        <v>0</v>
      </c>
      <c r="Q53" s="48">
        <f>L53-P53</f>
        <v>4000000.0848000003</v>
      </c>
    </row>
    <row r="54" spans="1:17" ht="18" customHeight="1" x14ac:dyDescent="0.15">
      <c r="A54" s="38"/>
      <c r="B54" s="39"/>
      <c r="C54" s="39"/>
      <c r="D54" s="49"/>
      <c r="E54" s="41"/>
      <c r="F54" s="42"/>
      <c r="G54" s="43"/>
      <c r="H54" s="53"/>
      <c r="I54" s="31"/>
      <c r="J54" s="43"/>
      <c r="K54" s="32"/>
      <c r="L54" s="33"/>
      <c r="M54" s="45"/>
      <c r="N54" s="35"/>
      <c r="O54" s="46"/>
      <c r="P54" s="47"/>
      <c r="Q54" s="48"/>
    </row>
    <row r="55" spans="1:17" ht="18" customHeight="1" x14ac:dyDescent="0.15">
      <c r="A55" s="38">
        <v>10</v>
      </c>
      <c r="B55" s="64">
        <v>46013</v>
      </c>
      <c r="C55" s="39">
        <v>46028</v>
      </c>
      <c r="D55" s="40" t="s">
        <v>61</v>
      </c>
      <c r="E55" s="41" t="s">
        <v>62</v>
      </c>
      <c r="F55" s="42" t="s">
        <v>63</v>
      </c>
      <c r="G55" s="32">
        <v>3</v>
      </c>
      <c r="H55" s="57">
        <f>100/111*1805000</f>
        <v>1626126.1261261262</v>
      </c>
      <c r="I55" s="31">
        <f>G55*H55</f>
        <v>4878378.3783783782</v>
      </c>
      <c r="J55" s="43"/>
      <c r="K55" s="32"/>
      <c r="L55" s="33"/>
      <c r="M55" s="34"/>
      <c r="N55" s="35"/>
      <c r="O55" s="48"/>
      <c r="P55" s="51"/>
      <c r="Q55" s="48"/>
    </row>
    <row r="56" spans="1:17" ht="18" customHeight="1" x14ac:dyDescent="0.15">
      <c r="A56" s="38"/>
      <c r="B56" s="39"/>
      <c r="C56" s="39"/>
      <c r="D56" s="40"/>
      <c r="E56" s="41"/>
      <c r="F56" s="42" t="s">
        <v>64</v>
      </c>
      <c r="G56" s="32">
        <v>2</v>
      </c>
      <c r="H56" s="57">
        <f>100/111*1805000</f>
        <v>1626126.1261261262</v>
      </c>
      <c r="I56" s="31">
        <f>G56*H56</f>
        <v>3252252.2522522523</v>
      </c>
      <c r="J56" s="43"/>
      <c r="K56" s="32"/>
      <c r="L56" s="33"/>
      <c r="M56" s="34"/>
      <c r="N56" s="35"/>
      <c r="O56" s="48"/>
      <c r="P56" s="51"/>
      <c r="Q56" s="48"/>
    </row>
    <row r="57" spans="1:17" ht="18" customHeight="1" x14ac:dyDescent="0.15">
      <c r="A57" s="38"/>
      <c r="B57" s="39"/>
      <c r="C57" s="39"/>
      <c r="D57" s="40"/>
      <c r="E57" s="41"/>
      <c r="F57" s="42" t="s">
        <v>65</v>
      </c>
      <c r="G57" s="32">
        <v>2</v>
      </c>
      <c r="H57" s="57">
        <f>100/111*1805000</f>
        <v>1626126.1261261262</v>
      </c>
      <c r="I57" s="55">
        <f>G57*H57</f>
        <v>3252252.2522522523</v>
      </c>
      <c r="J57" s="32"/>
      <c r="K57" s="32"/>
      <c r="L57" s="33"/>
      <c r="M57" s="34"/>
      <c r="N57" s="35"/>
      <c r="O57" s="48"/>
      <c r="P57" s="51"/>
      <c r="Q57" s="48"/>
    </row>
    <row r="58" spans="1:17" ht="18" customHeight="1" x14ac:dyDescent="0.15">
      <c r="A58" s="38"/>
      <c r="B58" s="39"/>
      <c r="C58" s="39"/>
      <c r="D58" s="41"/>
      <c r="E58" s="41"/>
      <c r="F58" s="42"/>
      <c r="G58" s="54"/>
      <c r="H58" s="53"/>
      <c r="I58" s="31"/>
      <c r="J58" s="43">
        <f>SUM(I55:I57)</f>
        <v>11382882.882882884</v>
      </c>
      <c r="K58" s="32">
        <f>$K$5*J58</f>
        <v>1252117.1171171172</v>
      </c>
      <c r="L58" s="33">
        <f>J58+K58</f>
        <v>12635000</v>
      </c>
      <c r="M58" s="34">
        <f>L58-K58</f>
        <v>11382882.882882882</v>
      </c>
      <c r="N58" s="35">
        <v>0</v>
      </c>
      <c r="O58" s="48">
        <v>0</v>
      </c>
      <c r="P58" s="51">
        <v>0</v>
      </c>
      <c r="Q58" s="48">
        <f>L58-P58</f>
        <v>12635000</v>
      </c>
    </row>
    <row r="59" spans="1:17" ht="18" customHeight="1" x14ac:dyDescent="0.15">
      <c r="A59" s="38"/>
      <c r="B59" s="39"/>
      <c r="C59" s="39"/>
      <c r="D59" s="40"/>
      <c r="E59" s="41"/>
      <c r="F59" s="42"/>
      <c r="G59" s="54"/>
      <c r="H59" s="50"/>
      <c r="I59" s="31"/>
      <c r="J59" s="31"/>
      <c r="K59" s="32"/>
      <c r="L59" s="33"/>
      <c r="M59" s="34"/>
      <c r="N59" s="35"/>
      <c r="O59" s="48"/>
      <c r="P59" s="51"/>
      <c r="Q59" s="48"/>
    </row>
    <row r="60" spans="1:17" ht="18" customHeight="1" x14ac:dyDescent="0.15">
      <c r="A60" s="38"/>
      <c r="B60" s="39"/>
      <c r="C60" s="39"/>
      <c r="D60" s="40"/>
      <c r="E60" s="41"/>
      <c r="F60" s="42"/>
      <c r="G60" s="56"/>
      <c r="H60" s="65"/>
      <c r="I60" s="31"/>
      <c r="J60" s="32"/>
      <c r="K60" s="32"/>
      <c r="L60" s="33"/>
      <c r="M60" s="34"/>
      <c r="N60" s="35"/>
      <c r="O60" s="48"/>
      <c r="P60" s="51"/>
      <c r="Q60" s="48"/>
    </row>
    <row r="61" spans="1:17" ht="18" customHeight="1" x14ac:dyDescent="0.15">
      <c r="A61" s="38">
        <v>12</v>
      </c>
      <c r="B61" s="39">
        <v>46030</v>
      </c>
      <c r="C61" s="39">
        <v>46030</v>
      </c>
      <c r="D61" s="40" t="s">
        <v>66</v>
      </c>
      <c r="E61" s="41" t="s">
        <v>67</v>
      </c>
      <c r="F61" s="42" t="s">
        <v>68</v>
      </c>
      <c r="G61" s="56">
        <v>8</v>
      </c>
      <c r="H61" s="66">
        <f>2.2*55*25765.77</f>
        <v>3117658.1700000004</v>
      </c>
      <c r="I61" s="31">
        <f t="shared" ref="I61:I86" si="2">G61*H61</f>
        <v>24941265.360000003</v>
      </c>
      <c r="J61" s="43"/>
      <c r="K61" s="32"/>
      <c r="L61" s="33"/>
      <c r="M61" s="45"/>
      <c r="N61" s="35"/>
      <c r="O61" s="46"/>
      <c r="P61" s="47"/>
      <c r="Q61" s="48"/>
    </row>
    <row r="62" spans="1:17" ht="18" customHeight="1" x14ac:dyDescent="0.15">
      <c r="A62" s="38"/>
      <c r="B62" s="39"/>
      <c r="C62" s="39"/>
      <c r="D62" s="40"/>
      <c r="E62" s="41"/>
      <c r="F62" s="42" t="s">
        <v>69</v>
      </c>
      <c r="G62" s="56">
        <v>10</v>
      </c>
      <c r="H62" s="66">
        <f>3.2*55*25765.77</f>
        <v>4534775.5200000005</v>
      </c>
      <c r="I62" s="31">
        <f t="shared" si="2"/>
        <v>45347755.200000003</v>
      </c>
      <c r="J62" s="43"/>
      <c r="K62" s="32"/>
      <c r="L62" s="33"/>
      <c r="M62" s="34"/>
      <c r="N62" s="35"/>
      <c r="O62" s="48"/>
      <c r="P62" s="51"/>
      <c r="Q62" s="48"/>
    </row>
    <row r="63" spans="1:17" ht="18" customHeight="1" x14ac:dyDescent="0.15">
      <c r="A63" s="38"/>
      <c r="B63" s="39"/>
      <c r="C63" s="39"/>
      <c r="D63" s="40"/>
      <c r="E63" s="41"/>
      <c r="F63" s="42" t="s">
        <v>70</v>
      </c>
      <c r="G63" s="56">
        <v>2</v>
      </c>
      <c r="H63" s="66">
        <f>4.2*55*31300</f>
        <v>7230300</v>
      </c>
      <c r="I63" s="31">
        <f t="shared" si="2"/>
        <v>14460600</v>
      </c>
      <c r="J63" s="43"/>
      <c r="K63" s="32"/>
      <c r="L63" s="33"/>
      <c r="M63" s="45"/>
      <c r="N63" s="35"/>
      <c r="O63" s="46"/>
      <c r="P63" s="47"/>
      <c r="Q63" s="48"/>
    </row>
    <row r="64" spans="1:17" ht="18" customHeight="1" x14ac:dyDescent="0.15">
      <c r="A64" s="38"/>
      <c r="B64" s="39"/>
      <c r="C64" s="39"/>
      <c r="D64" s="40"/>
      <c r="E64" s="41"/>
      <c r="F64" s="42" t="s">
        <v>71</v>
      </c>
      <c r="G64" s="56">
        <v>4</v>
      </c>
      <c r="H64" s="66">
        <f>5.1*55*31300</f>
        <v>8779650</v>
      </c>
      <c r="I64" s="31">
        <f t="shared" si="2"/>
        <v>35118600</v>
      </c>
      <c r="J64" s="43"/>
      <c r="K64" s="32"/>
      <c r="L64" s="33"/>
      <c r="M64" s="45"/>
      <c r="N64" s="35"/>
      <c r="O64" s="46"/>
      <c r="P64" s="47"/>
      <c r="Q64" s="48"/>
    </row>
    <row r="65" spans="1:17" ht="18" customHeight="1" x14ac:dyDescent="0.15">
      <c r="A65" s="38"/>
      <c r="B65" s="39"/>
      <c r="C65" s="39"/>
      <c r="D65" s="40"/>
      <c r="E65" s="41"/>
      <c r="F65" s="42" t="s">
        <v>72</v>
      </c>
      <c r="G65" s="56">
        <v>3</v>
      </c>
      <c r="H65" s="66">
        <f>2.2*55*7300</f>
        <v>883300.00000000012</v>
      </c>
      <c r="I65" s="31">
        <f t="shared" si="2"/>
        <v>2649900.0000000005</v>
      </c>
      <c r="J65" s="43"/>
      <c r="K65" s="32"/>
      <c r="L65" s="33"/>
      <c r="M65" s="45"/>
      <c r="N65" s="35"/>
      <c r="O65" s="46"/>
      <c r="P65" s="47"/>
      <c r="Q65" s="48"/>
    </row>
    <row r="66" spans="1:17" ht="18" customHeight="1" x14ac:dyDescent="0.15">
      <c r="A66" s="38"/>
      <c r="B66" s="39"/>
      <c r="C66" s="39"/>
      <c r="D66" s="40"/>
      <c r="E66" s="41"/>
      <c r="F66" s="42" t="s">
        <v>73</v>
      </c>
      <c r="G66" s="56">
        <v>23</v>
      </c>
      <c r="H66" s="66">
        <f>2.6*55*7300</f>
        <v>1043900</v>
      </c>
      <c r="I66" s="31">
        <f t="shared" si="2"/>
        <v>24009700</v>
      </c>
      <c r="J66" s="43"/>
      <c r="K66" s="32"/>
      <c r="L66" s="33"/>
      <c r="M66" s="34"/>
      <c r="N66" s="35"/>
      <c r="O66" s="48"/>
      <c r="P66" s="51"/>
      <c r="Q66" s="48"/>
    </row>
    <row r="67" spans="1:17" ht="18" customHeight="1" x14ac:dyDescent="0.15">
      <c r="A67" s="38"/>
      <c r="B67" s="39"/>
      <c r="C67" s="39"/>
      <c r="D67" s="40"/>
      <c r="E67" s="41"/>
      <c r="F67" s="42" t="s">
        <v>74</v>
      </c>
      <c r="G67" s="56">
        <v>2</v>
      </c>
      <c r="H67" s="66">
        <f>3.2*55*7300</f>
        <v>1284800</v>
      </c>
      <c r="I67" s="31">
        <f t="shared" si="2"/>
        <v>2569600</v>
      </c>
      <c r="J67" s="43"/>
      <c r="K67" s="32"/>
      <c r="L67" s="33"/>
      <c r="M67" s="45"/>
      <c r="N67" s="35"/>
      <c r="O67" s="46"/>
      <c r="P67" s="47"/>
      <c r="Q67" s="48"/>
    </row>
    <row r="68" spans="1:17" ht="18" customHeight="1" x14ac:dyDescent="0.15">
      <c r="A68" s="38"/>
      <c r="B68" s="39"/>
      <c r="C68" s="39"/>
      <c r="D68" s="49"/>
      <c r="E68" s="41"/>
      <c r="F68" s="42" t="s">
        <v>75</v>
      </c>
      <c r="G68" s="56">
        <v>3</v>
      </c>
      <c r="H68" s="66">
        <f>2.8*55*7300</f>
        <v>1124200</v>
      </c>
      <c r="I68" s="31">
        <f t="shared" si="2"/>
        <v>3372600</v>
      </c>
      <c r="J68" s="43"/>
      <c r="K68" s="32"/>
      <c r="L68" s="33"/>
      <c r="M68" s="34"/>
      <c r="N68" s="35"/>
      <c r="O68" s="48"/>
      <c r="P68" s="51"/>
      <c r="Q68" s="48"/>
    </row>
    <row r="69" spans="1:17" ht="18" customHeight="1" x14ac:dyDescent="0.15">
      <c r="A69" s="38"/>
      <c r="B69" s="39"/>
      <c r="C69" s="39"/>
      <c r="D69" s="40"/>
      <c r="E69" s="41"/>
      <c r="F69" s="42" t="s">
        <v>76</v>
      </c>
      <c r="G69" s="56">
        <v>3</v>
      </c>
      <c r="H69" s="66">
        <f>3.2*55*6800</f>
        <v>1196800</v>
      </c>
      <c r="I69" s="31">
        <f t="shared" si="2"/>
        <v>3590400</v>
      </c>
      <c r="J69" s="43"/>
      <c r="K69" s="32"/>
      <c r="L69" s="33"/>
      <c r="M69" s="45"/>
      <c r="N69" s="35"/>
      <c r="O69" s="46"/>
      <c r="P69" s="47"/>
      <c r="Q69" s="48"/>
    </row>
    <row r="70" spans="1:17" ht="18" customHeight="1" x14ac:dyDescent="0.15">
      <c r="A70" s="38"/>
      <c r="B70" s="39"/>
      <c r="C70" s="39"/>
      <c r="D70" s="40"/>
      <c r="E70" s="41"/>
      <c r="F70" s="42" t="s">
        <v>77</v>
      </c>
      <c r="G70" s="54">
        <v>7</v>
      </c>
      <c r="H70" s="52">
        <f>2.2*55*20500</f>
        <v>2480500.0000000005</v>
      </c>
      <c r="I70" s="31">
        <f t="shared" si="2"/>
        <v>17363500.000000004</v>
      </c>
      <c r="J70" s="43"/>
      <c r="K70" s="32"/>
      <c r="L70" s="33"/>
      <c r="M70" s="45"/>
      <c r="N70" s="35"/>
      <c r="O70" s="46"/>
      <c r="P70" s="47"/>
      <c r="Q70" s="48"/>
    </row>
    <row r="71" spans="1:17" ht="18" customHeight="1" x14ac:dyDescent="0.15">
      <c r="A71" s="38"/>
      <c r="B71" s="39"/>
      <c r="C71" s="39"/>
      <c r="D71" s="40"/>
      <c r="E71" s="41"/>
      <c r="F71" s="42" t="s">
        <v>78</v>
      </c>
      <c r="G71" s="54">
        <v>4</v>
      </c>
      <c r="H71" s="52">
        <f>3.2*55*20500</f>
        <v>3608000</v>
      </c>
      <c r="I71" s="31">
        <f t="shared" si="2"/>
        <v>14432000</v>
      </c>
      <c r="J71" s="43"/>
      <c r="K71" s="32"/>
      <c r="L71" s="33"/>
      <c r="M71" s="45"/>
      <c r="N71" s="35"/>
      <c r="O71" s="46"/>
      <c r="P71" s="47"/>
      <c r="Q71" s="48"/>
    </row>
    <row r="72" spans="1:17" ht="18" customHeight="1" x14ac:dyDescent="0.15">
      <c r="A72" s="38"/>
      <c r="B72" s="39"/>
      <c r="C72" s="39"/>
      <c r="D72" s="49"/>
      <c r="E72" s="41"/>
      <c r="F72" s="42" t="s">
        <v>79</v>
      </c>
      <c r="G72" s="54">
        <v>6</v>
      </c>
      <c r="H72" s="52">
        <f>3.2*65*9100</f>
        <v>1892800</v>
      </c>
      <c r="I72" s="31">
        <f t="shared" si="2"/>
        <v>11356800</v>
      </c>
      <c r="J72" s="43"/>
      <c r="K72" s="32"/>
      <c r="L72" s="33"/>
      <c r="M72" s="45"/>
      <c r="N72" s="35"/>
      <c r="O72" s="46"/>
      <c r="P72" s="47"/>
      <c r="Q72" s="48"/>
    </row>
    <row r="73" spans="1:17" ht="18" customHeight="1" x14ac:dyDescent="0.15">
      <c r="A73" s="38"/>
      <c r="B73" s="39"/>
      <c r="C73" s="39"/>
      <c r="D73" s="40"/>
      <c r="E73" s="41"/>
      <c r="F73" s="42" t="s">
        <v>80</v>
      </c>
      <c r="G73" s="31">
        <v>3</v>
      </c>
      <c r="H73" s="52">
        <f>2.6*55*11300</f>
        <v>1615900</v>
      </c>
      <c r="I73" s="31">
        <f t="shared" si="2"/>
        <v>4847700</v>
      </c>
      <c r="J73" s="43"/>
      <c r="K73" s="32"/>
      <c r="L73" s="33"/>
      <c r="M73" s="34"/>
      <c r="N73" s="35"/>
      <c r="O73" s="48"/>
      <c r="P73" s="51"/>
      <c r="Q73" s="48"/>
    </row>
    <row r="74" spans="1:17" ht="18" customHeight="1" x14ac:dyDescent="0.15">
      <c r="A74" s="38"/>
      <c r="B74" s="39"/>
      <c r="C74" s="39"/>
      <c r="D74" s="40"/>
      <c r="E74" s="41"/>
      <c r="F74" s="42" t="s">
        <v>81</v>
      </c>
      <c r="G74" s="31">
        <v>3</v>
      </c>
      <c r="H74" s="52">
        <f>3.2*55*11300</f>
        <v>1988800</v>
      </c>
      <c r="I74" s="31">
        <f t="shared" si="2"/>
        <v>5966400</v>
      </c>
      <c r="J74" s="43"/>
      <c r="K74" s="32"/>
      <c r="L74" s="33"/>
      <c r="M74" s="45"/>
      <c r="N74" s="35"/>
      <c r="O74" s="46"/>
      <c r="P74" s="47"/>
      <c r="Q74" s="48"/>
    </row>
    <row r="75" spans="1:17" ht="18" customHeight="1" x14ac:dyDescent="0.15">
      <c r="A75" s="38"/>
      <c r="B75" s="39"/>
      <c r="C75" s="39"/>
      <c r="D75" s="58"/>
      <c r="E75" s="41"/>
      <c r="F75" s="42" t="s">
        <v>82</v>
      </c>
      <c r="G75" s="54">
        <v>3</v>
      </c>
      <c r="H75" s="52">
        <f>2.2*55*22972.975</f>
        <v>2779729.9750000001</v>
      </c>
      <c r="I75" s="31">
        <f t="shared" si="2"/>
        <v>8339189.9250000007</v>
      </c>
      <c r="J75" s="43"/>
      <c r="K75" s="32"/>
      <c r="L75" s="33"/>
      <c r="M75" s="34"/>
      <c r="N75" s="35"/>
      <c r="O75" s="48"/>
      <c r="P75" s="51"/>
      <c r="Q75" s="48"/>
    </row>
    <row r="76" spans="1:17" ht="18" customHeight="1" x14ac:dyDescent="0.15">
      <c r="A76" s="38"/>
      <c r="B76" s="39"/>
      <c r="C76" s="39"/>
      <c r="D76" s="40"/>
      <c r="E76" s="41"/>
      <c r="F76" s="42" t="s">
        <v>83</v>
      </c>
      <c r="G76" s="54">
        <v>2</v>
      </c>
      <c r="H76" s="52">
        <f>3.2*55*22972.975</f>
        <v>4043243.5999999996</v>
      </c>
      <c r="I76" s="31">
        <f t="shared" si="2"/>
        <v>8086487.1999999993</v>
      </c>
      <c r="J76" s="43"/>
      <c r="K76" s="32"/>
      <c r="L76" s="33"/>
      <c r="M76" s="45"/>
      <c r="N76" s="35"/>
      <c r="O76" s="46"/>
      <c r="P76" s="47"/>
      <c r="Q76" s="48"/>
    </row>
    <row r="77" spans="1:17" ht="18" customHeight="1" x14ac:dyDescent="0.15">
      <c r="A77" s="38"/>
      <c r="B77" s="39"/>
      <c r="C77" s="39"/>
      <c r="D77" s="49"/>
      <c r="E77" s="41"/>
      <c r="F77" s="42" t="s">
        <v>84</v>
      </c>
      <c r="G77" s="43">
        <v>4</v>
      </c>
      <c r="H77" s="53">
        <f>1.05*50*22500</f>
        <v>1181250</v>
      </c>
      <c r="I77" s="31">
        <f t="shared" si="2"/>
        <v>4725000</v>
      </c>
      <c r="J77" s="43"/>
      <c r="K77" s="32"/>
      <c r="L77" s="33"/>
      <c r="M77" s="45"/>
      <c r="N77" s="35"/>
      <c r="O77" s="46"/>
      <c r="P77" s="47"/>
      <c r="Q77" s="48"/>
    </row>
    <row r="78" spans="1:17" ht="18" customHeight="1" x14ac:dyDescent="0.15">
      <c r="A78" s="38"/>
      <c r="B78" s="39"/>
      <c r="C78" s="39"/>
      <c r="D78" s="40"/>
      <c r="E78" s="41"/>
      <c r="F78" s="42" t="s">
        <v>85</v>
      </c>
      <c r="G78" s="43">
        <v>8</v>
      </c>
      <c r="H78" s="53">
        <f>1.26*50*22500</f>
        <v>1417500</v>
      </c>
      <c r="I78" s="31">
        <f t="shared" si="2"/>
        <v>11340000</v>
      </c>
      <c r="J78" s="43"/>
      <c r="K78" s="32"/>
      <c r="L78" s="33"/>
      <c r="M78" s="45"/>
      <c r="N78" s="35"/>
      <c r="O78" s="46"/>
      <c r="P78" s="47"/>
      <c r="Q78" s="48"/>
    </row>
    <row r="79" spans="1:17" ht="18" customHeight="1" x14ac:dyDescent="0.15">
      <c r="A79" s="38"/>
      <c r="B79" s="39"/>
      <c r="C79" s="39"/>
      <c r="D79" s="40"/>
      <c r="E79" s="41"/>
      <c r="F79" s="42" t="s">
        <v>86</v>
      </c>
      <c r="G79" s="43">
        <v>4</v>
      </c>
      <c r="H79" s="53">
        <f>1.55*50*22500</f>
        <v>1743750</v>
      </c>
      <c r="I79" s="31">
        <f t="shared" si="2"/>
        <v>6975000</v>
      </c>
      <c r="J79" s="43"/>
      <c r="K79" s="32"/>
      <c r="L79" s="33"/>
      <c r="M79" s="45"/>
      <c r="N79" s="35"/>
      <c r="O79" s="46"/>
      <c r="P79" s="47"/>
      <c r="Q79" s="48"/>
    </row>
    <row r="80" spans="1:17" ht="18" customHeight="1" x14ac:dyDescent="0.15">
      <c r="A80" s="38"/>
      <c r="B80" s="39"/>
      <c r="C80" s="39"/>
      <c r="D80" s="40"/>
      <c r="E80" s="41"/>
      <c r="F80" s="42" t="s">
        <v>87</v>
      </c>
      <c r="G80" s="43">
        <v>5</v>
      </c>
      <c r="H80" s="53">
        <f>1.05*50*25000</f>
        <v>1312500</v>
      </c>
      <c r="I80" s="31">
        <f t="shared" si="2"/>
        <v>6562500</v>
      </c>
      <c r="J80" s="43"/>
      <c r="K80" s="32"/>
      <c r="L80" s="33"/>
      <c r="M80" s="34"/>
      <c r="N80" s="35"/>
      <c r="O80" s="48"/>
      <c r="P80" s="51"/>
      <c r="Q80" s="48"/>
    </row>
    <row r="81" spans="1:17" ht="18" customHeight="1" x14ac:dyDescent="0.15">
      <c r="A81" s="38"/>
      <c r="B81" s="39"/>
      <c r="C81" s="39"/>
      <c r="D81" s="40"/>
      <c r="E81" s="41"/>
      <c r="F81" s="42" t="s">
        <v>88</v>
      </c>
      <c r="G81" s="43">
        <v>5</v>
      </c>
      <c r="H81" s="53">
        <f>1.26*50*25000</f>
        <v>1575000</v>
      </c>
      <c r="I81" s="31">
        <f t="shared" si="2"/>
        <v>7875000</v>
      </c>
      <c r="J81" s="43"/>
      <c r="K81" s="32"/>
      <c r="L81" s="33"/>
      <c r="M81" s="45"/>
      <c r="N81" s="35"/>
      <c r="O81" s="46"/>
      <c r="P81" s="47"/>
      <c r="Q81" s="48"/>
    </row>
    <row r="82" spans="1:17" ht="18" customHeight="1" x14ac:dyDescent="0.15">
      <c r="A82" s="38"/>
      <c r="B82" s="39"/>
      <c r="C82" s="39"/>
      <c r="D82" s="58"/>
      <c r="E82" s="41"/>
      <c r="F82" s="42" t="s">
        <v>89</v>
      </c>
      <c r="G82" s="43">
        <v>1</v>
      </c>
      <c r="H82" s="53">
        <f>1.55*50*25000</f>
        <v>1937500</v>
      </c>
      <c r="I82" s="31">
        <f t="shared" si="2"/>
        <v>1937500</v>
      </c>
      <c r="J82" s="32"/>
      <c r="K82" s="32"/>
      <c r="L82" s="33"/>
      <c r="M82" s="34"/>
      <c r="N82" s="35"/>
      <c r="O82" s="48"/>
      <c r="P82" s="51"/>
      <c r="Q82" s="48"/>
    </row>
    <row r="83" spans="1:17" ht="18" customHeight="1" x14ac:dyDescent="0.15">
      <c r="A83" s="38"/>
      <c r="B83" s="39"/>
      <c r="C83" s="39"/>
      <c r="D83" s="40"/>
      <c r="E83" s="41"/>
      <c r="F83" s="42" t="s">
        <v>90</v>
      </c>
      <c r="G83" s="43">
        <v>2</v>
      </c>
      <c r="H83" s="53">
        <f>1.05*50*22500</f>
        <v>1181250</v>
      </c>
      <c r="I83" s="31">
        <f t="shared" si="2"/>
        <v>2362500</v>
      </c>
      <c r="J83" s="32"/>
      <c r="K83" s="32"/>
      <c r="L83" s="33"/>
      <c r="M83" s="34"/>
      <c r="N83" s="35"/>
      <c r="O83" s="48"/>
      <c r="P83" s="51"/>
      <c r="Q83" s="48"/>
    </row>
    <row r="84" spans="1:17" ht="18" customHeight="1" x14ac:dyDescent="0.15">
      <c r="A84" s="38"/>
      <c r="B84" s="39"/>
      <c r="C84" s="39"/>
      <c r="D84" s="49"/>
      <c r="E84" s="41"/>
      <c r="F84" s="42" t="s">
        <v>91</v>
      </c>
      <c r="G84" s="43">
        <v>4</v>
      </c>
      <c r="H84" s="53">
        <f>1.52*50*26500</f>
        <v>2014000</v>
      </c>
      <c r="I84" s="31">
        <f t="shared" si="2"/>
        <v>8056000</v>
      </c>
      <c r="J84" s="43"/>
      <c r="K84" s="32"/>
      <c r="L84" s="33"/>
      <c r="M84" s="34"/>
      <c r="N84" s="35"/>
      <c r="O84" s="48"/>
      <c r="P84" s="51"/>
      <c r="Q84" s="48"/>
    </row>
    <row r="85" spans="1:17" ht="18" customHeight="1" x14ac:dyDescent="0.15">
      <c r="A85" s="38"/>
      <c r="B85" s="39"/>
      <c r="C85" s="39"/>
      <c r="D85" s="40"/>
      <c r="E85" s="41"/>
      <c r="F85" s="42" t="s">
        <v>92</v>
      </c>
      <c r="G85" s="54">
        <v>20000</v>
      </c>
      <c r="H85" s="53">
        <v>1081.08</v>
      </c>
      <c r="I85" s="31">
        <f t="shared" si="2"/>
        <v>21621600</v>
      </c>
      <c r="J85" s="31"/>
      <c r="K85" s="32"/>
      <c r="L85" s="33"/>
      <c r="M85" s="34"/>
      <c r="N85" s="35"/>
      <c r="O85" s="48"/>
      <c r="P85" s="51"/>
      <c r="Q85" s="48"/>
    </row>
    <row r="86" spans="1:17" ht="18" customHeight="1" x14ac:dyDescent="0.15">
      <c r="A86" s="38"/>
      <c r="B86" s="39"/>
      <c r="C86" s="39"/>
      <c r="D86" s="40"/>
      <c r="E86" s="41"/>
      <c r="F86" s="42" t="s">
        <v>93</v>
      </c>
      <c r="G86" s="56">
        <v>2</v>
      </c>
      <c r="H86" s="66">
        <f>1.07*50*6486.49</f>
        <v>347027.21499999997</v>
      </c>
      <c r="I86" s="55">
        <f t="shared" si="2"/>
        <v>694054.42999999993</v>
      </c>
      <c r="J86" s="32"/>
      <c r="K86" s="32"/>
      <c r="L86" s="33"/>
      <c r="M86" s="34"/>
      <c r="N86" s="35"/>
      <c r="O86" s="48"/>
      <c r="P86" s="51"/>
      <c r="Q86" s="48"/>
    </row>
    <row r="87" spans="1:17" ht="18" customHeight="1" x14ac:dyDescent="0.15">
      <c r="A87" s="38"/>
      <c r="B87" s="39"/>
      <c r="C87" s="39"/>
      <c r="D87" s="40"/>
      <c r="E87" s="41"/>
      <c r="F87" s="42"/>
      <c r="G87" s="56"/>
      <c r="H87" s="67"/>
      <c r="I87" s="31"/>
      <c r="J87" s="31">
        <f>SUM(I61:I86)</f>
        <v>298601652.11500001</v>
      </c>
      <c r="K87" s="32">
        <f>$K$5*J87</f>
        <v>32846181.732650001</v>
      </c>
      <c r="L87" s="33">
        <f>J87+K87</f>
        <v>331447833.84764999</v>
      </c>
      <c r="M87" s="34">
        <f>L87-K87</f>
        <v>298601652.11500001</v>
      </c>
      <c r="N87" s="35">
        <v>0</v>
      </c>
      <c r="O87" s="48">
        <v>0</v>
      </c>
      <c r="P87" s="51">
        <v>0</v>
      </c>
      <c r="Q87" s="48">
        <f>L87-P87</f>
        <v>331447833.84764999</v>
      </c>
    </row>
    <row r="88" spans="1:17" ht="18" customHeight="1" x14ac:dyDescent="0.15">
      <c r="A88" s="38"/>
      <c r="B88" s="39"/>
      <c r="C88" s="39"/>
      <c r="D88" s="49"/>
      <c r="E88" s="41"/>
      <c r="F88" s="42"/>
      <c r="G88" s="43"/>
      <c r="H88" s="68"/>
      <c r="I88" s="31"/>
      <c r="J88" s="32"/>
      <c r="K88" s="32"/>
      <c r="L88" s="33"/>
      <c r="M88" s="34"/>
      <c r="N88" s="35"/>
      <c r="O88" s="48"/>
      <c r="P88" s="51"/>
      <c r="Q88" s="48"/>
    </row>
    <row r="89" spans="1:17" ht="18" customHeight="1" x14ac:dyDescent="0.15">
      <c r="A89" s="38">
        <v>13</v>
      </c>
      <c r="B89" s="39">
        <v>46031</v>
      </c>
      <c r="C89" s="39">
        <v>46031</v>
      </c>
      <c r="D89" s="49" t="s">
        <v>24</v>
      </c>
      <c r="E89" s="41" t="s">
        <v>94</v>
      </c>
      <c r="F89" s="42" t="s">
        <v>95</v>
      </c>
      <c r="G89" s="56">
        <v>3</v>
      </c>
      <c r="H89" s="53">
        <f>100/111*300000</f>
        <v>270270.2702702703</v>
      </c>
      <c r="I89" s="31">
        <f>G89*H89</f>
        <v>810810.81081081089</v>
      </c>
      <c r="J89" s="32"/>
      <c r="K89" s="32"/>
      <c r="L89" s="33"/>
      <c r="M89" s="34"/>
      <c r="N89" s="35"/>
      <c r="O89" s="48"/>
      <c r="P89" s="51"/>
      <c r="Q89" s="48"/>
    </row>
    <row r="90" spans="1:17" ht="18" customHeight="1" x14ac:dyDescent="0.15">
      <c r="A90" s="38"/>
      <c r="B90" s="39"/>
      <c r="C90" s="39"/>
      <c r="D90" s="49"/>
      <c r="E90" s="41"/>
      <c r="F90" s="42" t="s">
        <v>96</v>
      </c>
      <c r="G90" s="56">
        <v>3</v>
      </c>
      <c r="H90" s="53">
        <f>100/111*300000</f>
        <v>270270.2702702703</v>
      </c>
      <c r="I90" s="31">
        <f>G90*H90</f>
        <v>810810.81081081089</v>
      </c>
      <c r="J90" s="32"/>
      <c r="K90" s="32"/>
      <c r="L90" s="33"/>
      <c r="M90" s="34"/>
      <c r="N90" s="35"/>
      <c r="O90" s="48"/>
      <c r="P90" s="51"/>
      <c r="Q90" s="48"/>
    </row>
    <row r="91" spans="1:17" ht="18" customHeight="1" x14ac:dyDescent="0.15">
      <c r="A91" s="38"/>
      <c r="B91" s="39"/>
      <c r="C91" s="39"/>
      <c r="D91" s="40"/>
      <c r="E91" s="41"/>
      <c r="F91" s="42" t="s">
        <v>34</v>
      </c>
      <c r="G91" s="56">
        <v>4</v>
      </c>
      <c r="H91" s="53">
        <f>100/111*300000</f>
        <v>270270.2702702703</v>
      </c>
      <c r="I91" s="31">
        <f>G91*H91</f>
        <v>1081081.0810810812</v>
      </c>
      <c r="J91" s="32"/>
      <c r="K91" s="32"/>
      <c r="L91" s="33"/>
      <c r="M91" s="34"/>
      <c r="N91" s="35"/>
      <c r="O91" s="48"/>
      <c r="P91" s="51"/>
      <c r="Q91" s="48"/>
    </row>
    <row r="92" spans="1:17" ht="18" customHeight="1" x14ac:dyDescent="0.15">
      <c r="A92" s="38"/>
      <c r="B92" s="39"/>
      <c r="C92" s="39"/>
      <c r="D92" s="49"/>
      <c r="E92" s="41"/>
      <c r="F92" s="42" t="s">
        <v>35</v>
      </c>
      <c r="G92" s="56">
        <v>3</v>
      </c>
      <c r="H92" s="53">
        <f>100/111*300000</f>
        <v>270270.2702702703</v>
      </c>
      <c r="I92" s="55">
        <f>G92*H92</f>
        <v>810810.81081081089</v>
      </c>
      <c r="J92" s="43"/>
      <c r="K92" s="32"/>
      <c r="L92" s="33"/>
      <c r="M92" s="34"/>
      <c r="N92" s="35"/>
      <c r="O92" s="48"/>
      <c r="P92" s="51"/>
      <c r="Q92" s="48"/>
    </row>
    <row r="93" spans="1:17" ht="18" customHeight="1" x14ac:dyDescent="0.15">
      <c r="A93" s="38"/>
      <c r="B93" s="39"/>
      <c r="C93" s="39"/>
      <c r="D93" s="40"/>
      <c r="E93" s="41"/>
      <c r="F93" s="42"/>
      <c r="G93" s="54"/>
      <c r="H93" s="53"/>
      <c r="I93" s="31"/>
      <c r="J93" s="31">
        <f>SUM(I89:I92)</f>
        <v>3513513.5135135138</v>
      </c>
      <c r="K93" s="32">
        <f>$K$5*J93</f>
        <v>386486.48648648651</v>
      </c>
      <c r="L93" s="33">
        <f>J93+K93</f>
        <v>3900000.0000000005</v>
      </c>
      <c r="M93" s="34">
        <f>L93-K93</f>
        <v>3513513.5135135138</v>
      </c>
      <c r="N93" s="35">
        <v>0</v>
      </c>
      <c r="O93" s="48">
        <v>0</v>
      </c>
      <c r="P93" s="51">
        <v>0</v>
      </c>
      <c r="Q93" s="48">
        <f>L93-P93</f>
        <v>3900000.0000000005</v>
      </c>
    </row>
    <row r="94" spans="1:17" ht="18" customHeight="1" x14ac:dyDescent="0.15">
      <c r="A94" s="38"/>
      <c r="B94" s="39"/>
      <c r="C94" s="39"/>
      <c r="D94" s="40"/>
      <c r="E94" s="41"/>
      <c r="F94" s="42"/>
      <c r="G94" s="56"/>
      <c r="H94" s="67"/>
      <c r="I94" s="31"/>
      <c r="J94" s="32"/>
      <c r="K94" s="32"/>
      <c r="L94" s="33"/>
      <c r="M94" s="34"/>
      <c r="N94" s="35"/>
      <c r="O94" s="48"/>
      <c r="P94" s="51"/>
      <c r="Q94" s="48"/>
    </row>
    <row r="95" spans="1:17" ht="18" customHeight="1" x14ac:dyDescent="0.15">
      <c r="A95" s="38">
        <v>14</v>
      </c>
      <c r="B95" s="39">
        <v>46031</v>
      </c>
      <c r="C95" s="39">
        <v>46031</v>
      </c>
      <c r="D95" s="40" t="s">
        <v>97</v>
      </c>
      <c r="E95" s="41" t="s">
        <v>98</v>
      </c>
      <c r="F95" s="42" t="s">
        <v>99</v>
      </c>
      <c r="G95" s="31">
        <v>5</v>
      </c>
      <c r="H95" s="53">
        <f>100/111*390000</f>
        <v>351351.35135135136</v>
      </c>
      <c r="I95" s="31">
        <f>G95*H95</f>
        <v>1756756.7567567569</v>
      </c>
      <c r="J95" s="31"/>
      <c r="K95" s="32"/>
      <c r="L95" s="33"/>
      <c r="M95" s="34"/>
      <c r="N95" s="35"/>
      <c r="O95" s="48"/>
      <c r="P95" s="51"/>
      <c r="Q95" s="48"/>
    </row>
    <row r="96" spans="1:17" ht="18" customHeight="1" x14ac:dyDescent="0.15">
      <c r="A96" s="38"/>
      <c r="B96" s="39"/>
      <c r="C96" s="39"/>
      <c r="D96" s="40"/>
      <c r="E96" s="41"/>
      <c r="F96" s="42" t="s">
        <v>100</v>
      </c>
      <c r="G96" s="31">
        <v>5</v>
      </c>
      <c r="H96" s="53">
        <f>100/111*555000</f>
        <v>500000</v>
      </c>
      <c r="I96" s="55">
        <f>G96*H96</f>
        <v>2500000</v>
      </c>
      <c r="J96" s="31"/>
      <c r="K96" s="32"/>
      <c r="L96" s="33"/>
      <c r="M96" s="34"/>
      <c r="N96" s="35"/>
      <c r="O96" s="48"/>
      <c r="P96" s="51"/>
      <c r="Q96" s="48"/>
    </row>
    <row r="97" spans="1:17" ht="18" customHeight="1" x14ac:dyDescent="0.15">
      <c r="A97" s="38"/>
      <c r="B97" s="39"/>
      <c r="C97" s="39"/>
      <c r="D97" s="40"/>
      <c r="E97" s="41"/>
      <c r="F97" s="42"/>
      <c r="G97" s="54"/>
      <c r="H97" s="53"/>
      <c r="I97" s="31"/>
      <c r="J97" s="31">
        <f>SUM(I95:I96)</f>
        <v>4256756.7567567565</v>
      </c>
      <c r="K97" s="32">
        <f>$K$5*J97</f>
        <v>468243.2432432432</v>
      </c>
      <c r="L97" s="33">
        <f>J97+K97</f>
        <v>4725000</v>
      </c>
      <c r="M97" s="34">
        <f>L97-K97</f>
        <v>4256756.7567567565</v>
      </c>
      <c r="N97" s="35">
        <v>0</v>
      </c>
      <c r="O97" s="48">
        <v>0</v>
      </c>
      <c r="P97" s="51">
        <v>0</v>
      </c>
      <c r="Q97" s="48">
        <f>L97-P97</f>
        <v>4725000</v>
      </c>
    </row>
    <row r="98" spans="1:17" ht="18" customHeight="1" x14ac:dyDescent="0.15">
      <c r="A98" s="38"/>
      <c r="B98" s="39"/>
      <c r="C98" s="39"/>
      <c r="D98" s="40"/>
      <c r="E98" s="41"/>
      <c r="F98" s="42"/>
      <c r="G98" s="54"/>
      <c r="H98" s="53"/>
      <c r="I98" s="31"/>
      <c r="J98" s="31"/>
      <c r="K98" s="32"/>
      <c r="L98" s="33"/>
      <c r="M98" s="34"/>
      <c r="N98" s="35"/>
      <c r="O98" s="48"/>
      <c r="P98" s="51"/>
      <c r="Q98" s="48"/>
    </row>
    <row r="99" spans="1:17" ht="18" customHeight="1" x14ac:dyDescent="0.15">
      <c r="A99" s="38">
        <v>15</v>
      </c>
      <c r="B99" s="39">
        <v>46032</v>
      </c>
      <c r="C99" s="39">
        <v>46032</v>
      </c>
      <c r="D99" s="40" t="s">
        <v>101</v>
      </c>
      <c r="E99" s="41" t="s">
        <v>102</v>
      </c>
      <c r="F99" s="42" t="s">
        <v>103</v>
      </c>
      <c r="G99" s="54">
        <v>18</v>
      </c>
      <c r="H99" s="53">
        <v>554504.5</v>
      </c>
      <c r="I99" s="31">
        <f>G99*H99</f>
        <v>9981081</v>
      </c>
      <c r="J99" s="31"/>
      <c r="K99" s="32"/>
      <c r="L99" s="33"/>
      <c r="M99" s="34"/>
      <c r="N99" s="35"/>
      <c r="O99" s="48"/>
      <c r="P99" s="51"/>
      <c r="Q99" s="48"/>
    </row>
    <row r="100" spans="1:17" ht="18" customHeight="1" x14ac:dyDescent="0.15">
      <c r="A100" s="38"/>
      <c r="B100" s="39"/>
      <c r="C100" s="39"/>
      <c r="D100" s="41"/>
      <c r="E100" s="61"/>
      <c r="F100" s="42" t="s">
        <v>104</v>
      </c>
      <c r="G100" s="54">
        <v>6</v>
      </c>
      <c r="H100" s="53">
        <v>554504.5</v>
      </c>
      <c r="I100" s="31">
        <f>G100*H100</f>
        <v>3327027</v>
      </c>
      <c r="J100" s="31"/>
      <c r="K100" s="32"/>
      <c r="L100" s="33"/>
      <c r="M100" s="34"/>
      <c r="N100" s="35"/>
      <c r="O100" s="48"/>
      <c r="P100" s="51"/>
      <c r="Q100" s="48"/>
    </row>
    <row r="101" spans="1:17" ht="18" customHeight="1" x14ac:dyDescent="0.15">
      <c r="A101" s="38"/>
      <c r="B101" s="39"/>
      <c r="C101" s="39"/>
      <c r="D101" s="58"/>
      <c r="E101" s="42"/>
      <c r="F101" s="42" t="s">
        <v>105</v>
      </c>
      <c r="G101" s="54">
        <v>18</v>
      </c>
      <c r="H101" s="53">
        <v>554504.5</v>
      </c>
      <c r="I101" s="31">
        <f>G101*H101</f>
        <v>9981081</v>
      </c>
      <c r="J101" s="31"/>
      <c r="K101" s="32"/>
      <c r="L101" s="33"/>
      <c r="M101" s="34"/>
      <c r="N101" s="35"/>
      <c r="O101" s="48"/>
      <c r="P101" s="51"/>
      <c r="Q101" s="48"/>
    </row>
    <row r="102" spans="1:17" ht="18" customHeight="1" x14ac:dyDescent="0.15">
      <c r="A102" s="38"/>
      <c r="B102" s="39"/>
      <c r="C102" s="39"/>
      <c r="D102" s="41"/>
      <c r="E102" s="41"/>
      <c r="F102" s="42" t="s">
        <v>106</v>
      </c>
      <c r="G102" s="54">
        <v>6</v>
      </c>
      <c r="H102" s="53">
        <v>554504.5</v>
      </c>
      <c r="I102" s="55">
        <f>G102*H102</f>
        <v>3327027</v>
      </c>
      <c r="J102" s="31"/>
      <c r="K102" s="32"/>
      <c r="L102" s="33"/>
      <c r="M102" s="34"/>
      <c r="N102" s="35"/>
      <c r="O102" s="48"/>
      <c r="P102" s="51"/>
      <c r="Q102" s="48"/>
    </row>
    <row r="103" spans="1:17" ht="18" customHeight="1" x14ac:dyDescent="0.15">
      <c r="A103" s="38"/>
      <c r="B103" s="39"/>
      <c r="C103" s="39"/>
      <c r="D103" s="41"/>
      <c r="E103" s="41"/>
      <c r="F103" s="42"/>
      <c r="G103" s="56"/>
      <c r="H103" s="52"/>
      <c r="I103" s="31"/>
      <c r="J103" s="31">
        <f>SUM(I99:I102)</f>
        <v>26616216</v>
      </c>
      <c r="K103" s="32">
        <f>$K$5*J103</f>
        <v>2927783.7600000002</v>
      </c>
      <c r="L103" s="33">
        <f>J103+K103</f>
        <v>29543999.760000002</v>
      </c>
      <c r="M103" s="34">
        <f>L103-K103</f>
        <v>26616216</v>
      </c>
      <c r="N103" s="35">
        <v>0</v>
      </c>
      <c r="O103" s="48">
        <v>0</v>
      </c>
      <c r="P103" s="51">
        <v>0</v>
      </c>
      <c r="Q103" s="48">
        <f>L103-P103</f>
        <v>29543999.760000002</v>
      </c>
    </row>
    <row r="104" spans="1:17" ht="18" customHeight="1" x14ac:dyDescent="0.15">
      <c r="A104" s="38"/>
      <c r="B104" s="39"/>
      <c r="C104" s="39"/>
      <c r="D104" s="41"/>
      <c r="E104" s="61"/>
      <c r="F104" s="42" t="s">
        <v>107</v>
      </c>
      <c r="G104" s="69">
        <v>1</v>
      </c>
      <c r="H104" s="70">
        <v>203000</v>
      </c>
      <c r="I104" s="31">
        <f>G104*H104</f>
        <v>203000</v>
      </c>
      <c r="J104" s="31">
        <f>I104</f>
        <v>203000</v>
      </c>
      <c r="K104" s="32">
        <v>0</v>
      </c>
      <c r="L104" s="33">
        <f>J104+K104</f>
        <v>203000</v>
      </c>
      <c r="M104" s="34">
        <v>0</v>
      </c>
      <c r="N104" s="35">
        <v>0</v>
      </c>
      <c r="O104" s="48">
        <f>L104-K104</f>
        <v>203000</v>
      </c>
      <c r="P104" s="51">
        <v>0</v>
      </c>
      <c r="Q104" s="48">
        <f>L104-P104</f>
        <v>203000</v>
      </c>
    </row>
    <row r="105" spans="1:17" ht="18" customHeight="1" x14ac:dyDescent="0.15">
      <c r="A105" s="38"/>
      <c r="B105" s="39"/>
      <c r="C105" s="39"/>
      <c r="D105" s="41"/>
      <c r="E105" s="61"/>
      <c r="F105" s="42"/>
      <c r="G105" s="56"/>
      <c r="H105" s="65"/>
      <c r="I105" s="31"/>
      <c r="J105" s="31"/>
      <c r="K105" s="32"/>
      <c r="L105" s="33"/>
      <c r="M105" s="34"/>
      <c r="N105" s="35"/>
      <c r="O105" s="48"/>
      <c r="P105" s="51"/>
      <c r="Q105" s="48"/>
    </row>
    <row r="106" spans="1:17" ht="18" customHeight="1" x14ac:dyDescent="0.15">
      <c r="A106" s="38">
        <v>16</v>
      </c>
      <c r="B106" s="39">
        <v>46032</v>
      </c>
      <c r="C106" s="39">
        <v>46032</v>
      </c>
      <c r="D106" s="40" t="s">
        <v>108</v>
      </c>
      <c r="E106" s="41" t="s">
        <v>109</v>
      </c>
      <c r="F106" s="42" t="s">
        <v>110</v>
      </c>
      <c r="G106" s="56">
        <v>96</v>
      </c>
      <c r="H106" s="53">
        <f>100/111*26900</f>
        <v>24234.234234234234</v>
      </c>
      <c r="I106" s="31">
        <f>G106*H106</f>
        <v>2326486.4864864866</v>
      </c>
      <c r="J106" s="31"/>
      <c r="K106" s="32"/>
      <c r="L106" s="33"/>
      <c r="M106" s="34"/>
      <c r="N106" s="35"/>
      <c r="O106" s="48"/>
      <c r="P106" s="51"/>
      <c r="Q106" s="48"/>
    </row>
    <row r="107" spans="1:17" ht="18" customHeight="1" x14ac:dyDescent="0.15">
      <c r="A107" s="38"/>
      <c r="B107" s="39"/>
      <c r="C107" s="39"/>
      <c r="D107" s="49"/>
      <c r="E107" s="61"/>
      <c r="F107" s="42" t="s">
        <v>111</v>
      </c>
      <c r="G107" s="56">
        <v>52</v>
      </c>
      <c r="H107" s="53">
        <f>100/111*36880</f>
        <v>33225.225225225229</v>
      </c>
      <c r="I107" s="31">
        <f>G107*H107</f>
        <v>1727711.7117117119</v>
      </c>
      <c r="J107" s="31"/>
      <c r="K107" s="32"/>
      <c r="L107" s="33"/>
      <c r="M107" s="34"/>
      <c r="N107" s="35"/>
      <c r="O107" s="48"/>
      <c r="P107" s="51"/>
      <c r="Q107" s="48"/>
    </row>
    <row r="108" spans="1:17" ht="18" customHeight="1" x14ac:dyDescent="0.15">
      <c r="A108" s="38"/>
      <c r="B108" s="39"/>
      <c r="C108" s="39"/>
      <c r="D108" s="49"/>
      <c r="E108" s="61"/>
      <c r="F108" s="42" t="s">
        <v>112</v>
      </c>
      <c r="G108" s="56">
        <v>30</v>
      </c>
      <c r="H108" s="53">
        <f>100/111*56840</f>
        <v>51207.207207207211</v>
      </c>
      <c r="I108" s="31">
        <f>G108*H108</f>
        <v>1536216.2162162163</v>
      </c>
      <c r="J108" s="31"/>
      <c r="K108" s="32"/>
      <c r="L108" s="33"/>
      <c r="M108" s="34"/>
      <c r="N108" s="35"/>
      <c r="O108" s="48"/>
      <c r="P108" s="51"/>
      <c r="Q108" s="48"/>
    </row>
    <row r="109" spans="1:17" ht="18" customHeight="1" x14ac:dyDescent="0.15">
      <c r="A109" s="38"/>
      <c r="B109" s="39"/>
      <c r="C109" s="39"/>
      <c r="D109" s="49"/>
      <c r="E109" s="41"/>
      <c r="F109" s="42" t="s">
        <v>113</v>
      </c>
      <c r="G109" s="54">
        <v>60</v>
      </c>
      <c r="H109" s="53">
        <f>100/111*28340</f>
        <v>25531.531531531531</v>
      </c>
      <c r="I109" s="31">
        <f>G109*H109</f>
        <v>1531891.8918918918</v>
      </c>
      <c r="J109" s="31"/>
      <c r="K109" s="32"/>
      <c r="L109" s="33"/>
      <c r="M109" s="34"/>
      <c r="N109" s="35"/>
      <c r="O109" s="48"/>
      <c r="P109" s="51"/>
      <c r="Q109" s="48"/>
    </row>
    <row r="110" spans="1:17" ht="18" customHeight="1" x14ac:dyDescent="0.15">
      <c r="A110" s="38"/>
      <c r="B110" s="39"/>
      <c r="C110" s="39"/>
      <c r="D110" s="41"/>
      <c r="E110" s="61"/>
      <c r="F110" s="42" t="s">
        <v>114</v>
      </c>
      <c r="G110" s="56">
        <v>80</v>
      </c>
      <c r="H110" s="53">
        <f>100/111*17005</f>
        <v>15319.819819819821</v>
      </c>
      <c r="I110" s="55">
        <f>G110*H110</f>
        <v>1225585.5855855856</v>
      </c>
      <c r="J110" s="31"/>
      <c r="K110" s="32"/>
      <c r="L110" s="33"/>
      <c r="M110" s="34"/>
      <c r="N110" s="35"/>
      <c r="O110" s="48"/>
      <c r="P110" s="51"/>
      <c r="Q110" s="48"/>
    </row>
    <row r="111" spans="1:17" ht="18" customHeight="1" x14ac:dyDescent="0.15">
      <c r="A111" s="38"/>
      <c r="B111" s="39"/>
      <c r="C111" s="39"/>
      <c r="D111" s="49"/>
      <c r="E111" s="41"/>
      <c r="F111" s="42"/>
      <c r="G111" s="43"/>
      <c r="H111" s="68"/>
      <c r="I111" s="31"/>
      <c r="J111" s="31">
        <f>SUM(I106:I110)</f>
        <v>8347891.891891893</v>
      </c>
      <c r="K111" s="32">
        <f>$K$5*J111</f>
        <v>918268.10810810828</v>
      </c>
      <c r="L111" s="33">
        <f>J111+K111</f>
        <v>9266160.0000000019</v>
      </c>
      <c r="M111" s="34">
        <f>L111-K111</f>
        <v>8347891.8918918939</v>
      </c>
      <c r="N111" s="35">
        <v>0</v>
      </c>
      <c r="O111" s="48">
        <v>0</v>
      </c>
      <c r="P111" s="51">
        <v>0</v>
      </c>
      <c r="Q111" s="48">
        <f>L111-P111</f>
        <v>9266160.0000000019</v>
      </c>
    </row>
    <row r="112" spans="1:17" ht="18" customHeight="1" x14ac:dyDescent="0.15">
      <c r="A112" s="38"/>
      <c r="B112" s="39"/>
      <c r="C112" s="39"/>
      <c r="D112" s="40"/>
      <c r="E112" s="41"/>
      <c r="F112" s="42"/>
      <c r="G112" s="56"/>
      <c r="H112" s="67"/>
      <c r="I112" s="31"/>
      <c r="J112" s="32"/>
      <c r="K112" s="32"/>
      <c r="L112" s="33"/>
      <c r="M112" s="34"/>
      <c r="N112" s="35"/>
      <c r="O112" s="48"/>
      <c r="P112" s="51"/>
      <c r="Q112" s="48"/>
    </row>
    <row r="113" spans="1:17" ht="18" customHeight="1" x14ac:dyDescent="0.15">
      <c r="A113" s="38">
        <v>17</v>
      </c>
      <c r="B113" s="39">
        <v>46034</v>
      </c>
      <c r="C113" s="39">
        <v>46034</v>
      </c>
      <c r="D113" s="49" t="s">
        <v>115</v>
      </c>
      <c r="E113" s="41" t="s">
        <v>116</v>
      </c>
      <c r="F113" s="42" t="s">
        <v>117</v>
      </c>
      <c r="G113" s="56">
        <v>1</v>
      </c>
      <c r="H113" s="53">
        <f>100/111*6500000</f>
        <v>5855855.8558558561</v>
      </c>
      <c r="I113" s="31">
        <f>G113*H113</f>
        <v>5855855.8558558561</v>
      </c>
      <c r="J113" s="43">
        <f>I113</f>
        <v>5855855.8558558561</v>
      </c>
      <c r="K113" s="32">
        <f>$K$5*J113</f>
        <v>644144.14414414414</v>
      </c>
      <c r="L113" s="33">
        <f>J113+K113</f>
        <v>6500000</v>
      </c>
      <c r="M113" s="34">
        <v>0</v>
      </c>
      <c r="N113" s="35">
        <f>L113-K113</f>
        <v>5855855.8558558561</v>
      </c>
      <c r="O113" s="48">
        <v>0</v>
      </c>
      <c r="P113" s="51">
        <v>0</v>
      </c>
      <c r="Q113" s="48">
        <f>L113-P113</f>
        <v>6500000</v>
      </c>
    </row>
    <row r="114" spans="1:17" ht="18" customHeight="1" x14ac:dyDescent="0.15">
      <c r="A114" s="38"/>
      <c r="B114" s="39"/>
      <c r="C114" s="39"/>
      <c r="D114" s="40"/>
      <c r="E114" s="41"/>
      <c r="F114" s="42"/>
      <c r="G114" s="56"/>
      <c r="H114" s="68"/>
      <c r="I114" s="31"/>
      <c r="J114" s="31"/>
      <c r="K114" s="32"/>
      <c r="L114" s="33"/>
      <c r="M114" s="34"/>
      <c r="N114" s="35"/>
      <c r="O114" s="48"/>
      <c r="P114" s="51"/>
      <c r="Q114" s="48"/>
    </row>
    <row r="115" spans="1:17" ht="18" customHeight="1" x14ac:dyDescent="0.15">
      <c r="A115" s="38">
        <v>17</v>
      </c>
      <c r="B115" s="39">
        <v>46034</v>
      </c>
      <c r="C115" s="39">
        <v>46034</v>
      </c>
      <c r="D115" s="49" t="s">
        <v>118</v>
      </c>
      <c r="E115" s="41" t="s">
        <v>45</v>
      </c>
      <c r="F115" s="42" t="s">
        <v>119</v>
      </c>
      <c r="G115" s="56">
        <v>5</v>
      </c>
      <c r="H115" s="53">
        <v>3200000</v>
      </c>
      <c r="I115" s="31">
        <f>G115*H115</f>
        <v>16000000</v>
      </c>
      <c r="J115" s="43">
        <f>I115</f>
        <v>16000000</v>
      </c>
      <c r="K115" s="32">
        <v>0</v>
      </c>
      <c r="L115" s="33">
        <f>J115+K115</f>
        <v>16000000</v>
      </c>
      <c r="M115" s="34">
        <f>L115-K115</f>
        <v>16000000</v>
      </c>
      <c r="N115" s="35">
        <v>0</v>
      </c>
      <c r="O115" s="48">
        <v>0</v>
      </c>
      <c r="P115" s="51">
        <v>0</v>
      </c>
      <c r="Q115" s="48">
        <f>L115-P115</f>
        <v>16000000</v>
      </c>
    </row>
    <row r="116" spans="1:17" ht="18" customHeight="1" x14ac:dyDescent="0.15">
      <c r="A116" s="38"/>
      <c r="B116" s="39"/>
      <c r="C116" s="39"/>
      <c r="D116" s="58"/>
      <c r="E116" s="41"/>
      <c r="F116" s="42"/>
      <c r="G116" s="56"/>
      <c r="H116" s="67"/>
      <c r="I116" s="31"/>
      <c r="J116" s="31"/>
      <c r="K116" s="32"/>
      <c r="L116" s="33"/>
      <c r="M116" s="34"/>
      <c r="N116" s="35"/>
      <c r="O116" s="48"/>
      <c r="P116" s="51"/>
      <c r="Q116" s="48"/>
    </row>
    <row r="117" spans="1:17" ht="18" customHeight="1" x14ac:dyDescent="0.15">
      <c r="A117" s="38">
        <v>18</v>
      </c>
      <c r="B117" s="39">
        <v>46034</v>
      </c>
      <c r="C117" s="39">
        <v>46034</v>
      </c>
      <c r="D117" s="40" t="s">
        <v>66</v>
      </c>
      <c r="E117" s="41" t="s">
        <v>120</v>
      </c>
      <c r="F117" s="42" t="s">
        <v>84</v>
      </c>
      <c r="G117" s="43">
        <v>10</v>
      </c>
      <c r="H117" s="53">
        <f>1.05*50*22500</f>
        <v>1181250</v>
      </c>
      <c r="I117" s="31">
        <f>G117*H117</f>
        <v>11812500</v>
      </c>
      <c r="J117" s="32"/>
      <c r="K117" s="32"/>
      <c r="L117" s="33"/>
      <c r="M117" s="34"/>
      <c r="N117" s="35"/>
      <c r="O117" s="48"/>
      <c r="P117" s="51"/>
      <c r="Q117" s="48"/>
    </row>
    <row r="118" spans="1:17" ht="18" customHeight="1" x14ac:dyDescent="0.15">
      <c r="A118" s="38"/>
      <c r="B118" s="39"/>
      <c r="C118" s="39"/>
      <c r="D118" s="40"/>
      <c r="E118" s="41"/>
      <c r="F118" s="42" t="s">
        <v>87</v>
      </c>
      <c r="G118" s="43">
        <v>2</v>
      </c>
      <c r="H118" s="53">
        <f>1.05*50*25000</f>
        <v>1312500</v>
      </c>
      <c r="I118" s="55">
        <f>G118*H118</f>
        <v>2625000</v>
      </c>
      <c r="J118" s="31"/>
      <c r="K118" s="32"/>
      <c r="L118" s="33"/>
      <c r="M118" s="34"/>
      <c r="N118" s="35"/>
      <c r="O118" s="48"/>
      <c r="P118" s="51"/>
      <c r="Q118" s="48"/>
    </row>
    <row r="119" spans="1:17" ht="18" customHeight="1" x14ac:dyDescent="0.15">
      <c r="A119" s="38"/>
      <c r="B119" s="39"/>
      <c r="C119" s="39"/>
      <c r="D119" s="49"/>
      <c r="E119" s="41"/>
      <c r="F119" s="42"/>
      <c r="G119" s="56"/>
      <c r="H119" s="67"/>
      <c r="I119" s="31"/>
      <c r="J119" s="32">
        <f>SUM(I117:I118)</f>
        <v>14437500</v>
      </c>
      <c r="K119" s="32">
        <f>$K$5*J119</f>
        <v>1588125</v>
      </c>
      <c r="L119" s="33">
        <f>J119+K119</f>
        <v>16025625</v>
      </c>
      <c r="M119" s="34">
        <f>L119-K119</f>
        <v>14437500</v>
      </c>
      <c r="N119" s="35">
        <v>0</v>
      </c>
      <c r="O119" s="48">
        <v>0</v>
      </c>
      <c r="P119" s="51">
        <v>0</v>
      </c>
      <c r="Q119" s="48">
        <f>L119-P119</f>
        <v>16025625</v>
      </c>
    </row>
    <row r="120" spans="1:17" ht="18" customHeight="1" x14ac:dyDescent="0.15">
      <c r="A120" s="38"/>
      <c r="B120" s="39"/>
      <c r="C120" s="39"/>
      <c r="D120" s="40"/>
      <c r="E120" s="41"/>
      <c r="F120" s="42"/>
      <c r="G120" s="56"/>
      <c r="H120" s="67"/>
      <c r="I120" s="31"/>
      <c r="J120" s="31"/>
      <c r="K120" s="32"/>
      <c r="L120" s="33"/>
      <c r="M120" s="34"/>
      <c r="N120" s="35"/>
      <c r="O120" s="48"/>
      <c r="P120" s="51"/>
      <c r="Q120" s="48"/>
    </row>
    <row r="121" spans="1:17" ht="18" customHeight="1" x14ac:dyDescent="0.15">
      <c r="A121" s="38">
        <v>19</v>
      </c>
      <c r="B121" s="39">
        <v>46036</v>
      </c>
      <c r="C121" s="39">
        <v>46036</v>
      </c>
      <c r="D121" s="40" t="s">
        <v>121</v>
      </c>
      <c r="E121" s="41" t="s">
        <v>122</v>
      </c>
      <c r="F121" s="42" t="s">
        <v>123</v>
      </c>
      <c r="G121" s="31">
        <v>8</v>
      </c>
      <c r="H121" s="53">
        <v>645000</v>
      </c>
      <c r="I121" s="31">
        <f>G121*H121</f>
        <v>5160000</v>
      </c>
      <c r="J121" s="43"/>
      <c r="K121" s="32"/>
      <c r="L121" s="33"/>
      <c r="M121" s="34"/>
      <c r="N121" s="35"/>
      <c r="O121" s="48"/>
      <c r="P121" s="51"/>
      <c r="Q121" s="48"/>
    </row>
    <row r="122" spans="1:17" ht="18" customHeight="1" x14ac:dyDescent="0.15">
      <c r="A122" s="38"/>
      <c r="B122" s="39"/>
      <c r="C122" s="39"/>
      <c r="D122" s="40"/>
      <c r="E122" s="41"/>
      <c r="F122" s="42" t="s">
        <v>124</v>
      </c>
      <c r="G122" s="31">
        <v>10</v>
      </c>
      <c r="H122" s="53">
        <v>285000</v>
      </c>
      <c r="I122" s="31">
        <f>G122*H122</f>
        <v>2850000</v>
      </c>
      <c r="J122" s="31"/>
      <c r="K122" s="32"/>
      <c r="L122" s="33"/>
      <c r="M122" s="34"/>
      <c r="N122" s="35"/>
      <c r="O122" s="48"/>
      <c r="P122" s="51"/>
      <c r="Q122" s="48"/>
    </row>
    <row r="123" spans="1:17" ht="18" customHeight="1" x14ac:dyDescent="0.15">
      <c r="A123" s="38"/>
      <c r="B123" s="39"/>
      <c r="C123" s="39"/>
      <c r="D123" s="58"/>
      <c r="E123" s="41"/>
      <c r="F123" s="42" t="s">
        <v>125</v>
      </c>
      <c r="G123" s="31">
        <v>10</v>
      </c>
      <c r="H123" s="53">
        <v>285000</v>
      </c>
      <c r="I123" s="31">
        <f>G123*H123</f>
        <v>2850000</v>
      </c>
      <c r="J123" s="32"/>
      <c r="K123" s="32"/>
      <c r="L123" s="33"/>
      <c r="M123" s="34"/>
      <c r="N123" s="35"/>
      <c r="O123" s="48"/>
      <c r="P123" s="51"/>
      <c r="Q123" s="48"/>
    </row>
    <row r="124" spans="1:17" ht="18" customHeight="1" x14ac:dyDescent="0.15">
      <c r="A124" s="38"/>
      <c r="B124" s="39"/>
      <c r="C124" s="39"/>
      <c r="D124" s="40"/>
      <c r="E124" s="41"/>
      <c r="F124" s="42" t="s">
        <v>126</v>
      </c>
      <c r="G124" s="56">
        <v>400</v>
      </c>
      <c r="H124" s="65">
        <v>5700</v>
      </c>
      <c r="I124" s="55">
        <f>G124*H124</f>
        <v>2280000</v>
      </c>
      <c r="J124" s="31"/>
      <c r="K124" s="32"/>
      <c r="L124" s="33"/>
      <c r="M124" s="34"/>
      <c r="N124" s="35"/>
      <c r="O124" s="48"/>
      <c r="P124" s="51"/>
      <c r="Q124" s="48"/>
    </row>
    <row r="125" spans="1:17" ht="18" customHeight="1" x14ac:dyDescent="0.15">
      <c r="A125" s="38"/>
      <c r="B125" s="39"/>
      <c r="C125" s="39"/>
      <c r="D125" s="49"/>
      <c r="E125" s="41"/>
      <c r="F125" s="42"/>
      <c r="G125" s="56"/>
      <c r="H125" s="67"/>
      <c r="I125" s="31"/>
      <c r="J125" s="31">
        <f>SUM(I121:I124)</f>
        <v>13140000</v>
      </c>
      <c r="K125" s="32">
        <f>$K$5*J125</f>
        <v>1445400</v>
      </c>
      <c r="L125" s="33">
        <f>J125+K125</f>
        <v>14585400</v>
      </c>
      <c r="M125" s="34">
        <f>L125-K125</f>
        <v>13140000</v>
      </c>
      <c r="N125" s="35">
        <v>0</v>
      </c>
      <c r="O125" s="48">
        <v>0</v>
      </c>
      <c r="P125" s="51">
        <v>0</v>
      </c>
      <c r="Q125" s="48">
        <f>L125-P125</f>
        <v>14585400</v>
      </c>
    </row>
    <row r="126" spans="1:17" ht="18" customHeight="1" x14ac:dyDescent="0.15">
      <c r="A126" s="38"/>
      <c r="B126" s="39"/>
      <c r="C126" s="39"/>
      <c r="D126" s="41"/>
      <c r="E126" s="41"/>
      <c r="F126" s="42"/>
      <c r="G126" s="56"/>
      <c r="H126" s="67"/>
      <c r="I126" s="31"/>
      <c r="J126" s="31"/>
      <c r="K126" s="32"/>
      <c r="L126" s="33"/>
      <c r="M126" s="34"/>
      <c r="N126" s="35"/>
      <c r="O126" s="48"/>
      <c r="P126" s="51"/>
      <c r="Q126" s="48"/>
    </row>
    <row r="127" spans="1:17" ht="18" customHeight="1" x14ac:dyDescent="0.15">
      <c r="A127" s="38">
        <v>20</v>
      </c>
      <c r="B127" s="39">
        <v>46037</v>
      </c>
      <c r="C127" s="39">
        <v>46037</v>
      </c>
      <c r="D127" s="40" t="s">
        <v>97</v>
      </c>
      <c r="E127" s="41" t="s">
        <v>127</v>
      </c>
      <c r="F127" s="42" t="s">
        <v>128</v>
      </c>
      <c r="G127" s="31">
        <v>16</v>
      </c>
      <c r="H127" s="53">
        <f>100/111*2500</f>
        <v>2252.2522522522522</v>
      </c>
      <c r="I127" s="31">
        <f>G127*H127</f>
        <v>36036.036036036036</v>
      </c>
      <c r="J127" s="31"/>
      <c r="K127" s="32"/>
      <c r="L127" s="33"/>
      <c r="M127" s="34"/>
      <c r="N127" s="35"/>
      <c r="O127" s="48"/>
      <c r="P127" s="51"/>
      <c r="Q127" s="48"/>
    </row>
    <row r="128" spans="1:17" ht="18" customHeight="1" x14ac:dyDescent="0.15">
      <c r="A128" s="38"/>
      <c r="B128" s="39"/>
      <c r="C128" s="39"/>
      <c r="D128" s="40"/>
      <c r="E128" s="41"/>
      <c r="F128" s="42" t="s">
        <v>129</v>
      </c>
      <c r="G128" s="31">
        <v>4</v>
      </c>
      <c r="H128" s="53">
        <f>100/111*3500</f>
        <v>3153.1531531531532</v>
      </c>
      <c r="I128" s="55">
        <f>G128*H128</f>
        <v>12612.612612612613</v>
      </c>
      <c r="J128" s="31"/>
      <c r="K128" s="32"/>
      <c r="L128" s="33"/>
      <c r="M128" s="34"/>
      <c r="N128" s="35"/>
      <c r="O128" s="48"/>
      <c r="P128" s="51"/>
      <c r="Q128" s="48"/>
    </row>
    <row r="129" spans="1:17" ht="18" customHeight="1" x14ac:dyDescent="0.15">
      <c r="A129" s="38"/>
      <c r="B129" s="39"/>
      <c r="C129" s="39"/>
      <c r="D129" s="40"/>
      <c r="E129" s="41"/>
      <c r="F129" s="42"/>
      <c r="G129" s="54"/>
      <c r="H129" s="53"/>
      <c r="I129" s="31"/>
      <c r="J129" s="31">
        <f>SUM(I127:I128)</f>
        <v>48648.648648648646</v>
      </c>
      <c r="K129" s="32">
        <f>$K$5*J129</f>
        <v>5351.3513513513508</v>
      </c>
      <c r="L129" s="33">
        <f>J129+K129</f>
        <v>54000</v>
      </c>
      <c r="M129" s="34">
        <f>L129-K129</f>
        <v>48648.648648648646</v>
      </c>
      <c r="N129" s="35">
        <v>0</v>
      </c>
      <c r="O129" s="48">
        <v>0</v>
      </c>
      <c r="P129" s="51">
        <v>54000</v>
      </c>
      <c r="Q129" s="48">
        <f>L129-P129</f>
        <v>0</v>
      </c>
    </row>
    <row r="130" spans="1:17" ht="18" customHeight="1" x14ac:dyDescent="0.15">
      <c r="A130" s="38"/>
      <c r="B130" s="39"/>
      <c r="C130" s="39"/>
      <c r="D130" s="49"/>
      <c r="E130" s="41"/>
      <c r="F130" s="42"/>
      <c r="G130" s="43"/>
      <c r="H130" s="68"/>
      <c r="I130" s="31"/>
      <c r="J130" s="31"/>
      <c r="K130" s="32"/>
      <c r="L130" s="33"/>
      <c r="M130" s="34"/>
      <c r="N130" s="35"/>
      <c r="O130" s="48"/>
      <c r="P130" s="51"/>
      <c r="Q130" s="48"/>
    </row>
    <row r="131" spans="1:17" ht="18" customHeight="1" x14ac:dyDescent="0.15">
      <c r="A131" s="38">
        <v>21</v>
      </c>
      <c r="B131" s="39">
        <v>46041</v>
      </c>
      <c r="C131" s="39">
        <v>46041</v>
      </c>
      <c r="D131" s="40" t="s">
        <v>97</v>
      </c>
      <c r="E131" s="41" t="s">
        <v>130</v>
      </c>
      <c r="F131" s="42" t="s">
        <v>100</v>
      </c>
      <c r="G131" s="31">
        <v>8</v>
      </c>
      <c r="H131" s="53">
        <f>100/111*555000</f>
        <v>500000</v>
      </c>
      <c r="I131" s="31">
        <f>G131*H131</f>
        <v>4000000</v>
      </c>
      <c r="J131" s="31"/>
      <c r="K131" s="32"/>
      <c r="L131" s="33"/>
      <c r="M131" s="34"/>
      <c r="N131" s="35"/>
      <c r="O131" s="48"/>
      <c r="P131" s="51"/>
      <c r="Q131" s="48"/>
    </row>
    <row r="132" spans="1:17" ht="18" customHeight="1" x14ac:dyDescent="0.15">
      <c r="A132" s="38"/>
      <c r="B132" s="39"/>
      <c r="C132" s="39"/>
      <c r="D132" s="49"/>
      <c r="E132" s="41"/>
      <c r="F132" s="42" t="s">
        <v>129</v>
      </c>
      <c r="G132" s="31">
        <v>100</v>
      </c>
      <c r="H132" s="53">
        <f>100/111*3500</f>
        <v>3153.1531531531532</v>
      </c>
      <c r="I132" s="55">
        <f>G132*H132</f>
        <v>315315.31531531533</v>
      </c>
      <c r="J132" s="31"/>
      <c r="K132" s="32"/>
      <c r="L132" s="33"/>
      <c r="M132" s="34"/>
      <c r="N132" s="35"/>
      <c r="O132" s="48"/>
      <c r="P132" s="51"/>
      <c r="Q132" s="48"/>
    </row>
    <row r="133" spans="1:17" ht="18" customHeight="1" x14ac:dyDescent="0.15">
      <c r="A133" s="38"/>
      <c r="B133" s="39"/>
      <c r="C133" s="39"/>
      <c r="D133" s="49"/>
      <c r="E133" s="41"/>
      <c r="F133" s="42"/>
      <c r="G133" s="54"/>
      <c r="H133" s="53"/>
      <c r="I133" s="31"/>
      <c r="J133" s="31">
        <f>SUM(I131:I132)</f>
        <v>4315315.3153153155</v>
      </c>
      <c r="K133" s="32">
        <f>$K$5*J133</f>
        <v>474684.68468468473</v>
      </c>
      <c r="L133" s="33">
        <f>J133+K133</f>
        <v>4790000</v>
      </c>
      <c r="M133" s="34">
        <f>L133-K133</f>
        <v>4315315.3153153155</v>
      </c>
      <c r="N133" s="35">
        <v>0</v>
      </c>
      <c r="O133" s="48">
        <v>0</v>
      </c>
      <c r="P133" s="51">
        <v>0</v>
      </c>
      <c r="Q133" s="48">
        <f>L133-P133</f>
        <v>4790000</v>
      </c>
    </row>
    <row r="134" spans="1:17" ht="18" customHeight="1" x14ac:dyDescent="0.15">
      <c r="A134" s="38"/>
      <c r="B134" s="39"/>
      <c r="C134" s="39"/>
      <c r="D134" s="40"/>
      <c r="E134" s="41"/>
      <c r="F134" s="42"/>
      <c r="G134" s="56"/>
      <c r="H134" s="67"/>
      <c r="I134" s="31"/>
      <c r="J134" s="32"/>
      <c r="K134" s="32"/>
      <c r="L134" s="33"/>
      <c r="M134" s="34"/>
      <c r="N134" s="35"/>
      <c r="O134" s="48"/>
      <c r="P134" s="51"/>
      <c r="Q134" s="48"/>
    </row>
    <row r="135" spans="1:17" ht="18" customHeight="1" x14ac:dyDescent="0.15">
      <c r="A135" s="38"/>
      <c r="B135" s="39"/>
      <c r="C135" s="39"/>
      <c r="D135" s="40"/>
      <c r="E135" s="41"/>
      <c r="F135" s="42"/>
      <c r="G135" s="56"/>
      <c r="H135" s="66"/>
      <c r="I135" s="31"/>
      <c r="J135" s="32"/>
      <c r="K135" s="32"/>
      <c r="L135" s="33"/>
      <c r="M135" s="34"/>
      <c r="N135" s="35"/>
      <c r="O135" s="48"/>
      <c r="P135" s="51"/>
      <c r="Q135" s="48"/>
    </row>
    <row r="136" spans="1:17" ht="18" customHeight="1" x14ac:dyDescent="0.15">
      <c r="A136" s="38">
        <v>23</v>
      </c>
      <c r="B136" s="39">
        <v>46042</v>
      </c>
      <c r="C136" s="39">
        <v>46042</v>
      </c>
      <c r="D136" s="40" t="s">
        <v>131</v>
      </c>
      <c r="E136" s="41" t="s">
        <v>132</v>
      </c>
      <c r="F136" s="42" t="s">
        <v>133</v>
      </c>
      <c r="G136" s="56"/>
      <c r="H136" s="66"/>
      <c r="I136" s="31"/>
      <c r="J136" s="32"/>
      <c r="K136" s="32"/>
      <c r="L136" s="33"/>
      <c r="M136" s="34"/>
      <c r="N136" s="35"/>
      <c r="O136" s="48"/>
      <c r="P136" s="51"/>
      <c r="Q136" s="48"/>
    </row>
    <row r="137" spans="1:17" ht="18" customHeight="1" x14ac:dyDescent="0.15">
      <c r="A137" s="38"/>
      <c r="B137" s="39"/>
      <c r="C137" s="39"/>
      <c r="D137" s="40"/>
      <c r="E137" s="41"/>
      <c r="F137" s="42" t="s">
        <v>134</v>
      </c>
      <c r="G137" s="56">
        <v>1</v>
      </c>
      <c r="H137" s="66">
        <v>800000</v>
      </c>
      <c r="I137" s="31">
        <f>G137*H137</f>
        <v>800000</v>
      </c>
      <c r="J137" s="32"/>
      <c r="K137" s="32"/>
      <c r="L137" s="33"/>
      <c r="M137" s="34"/>
      <c r="N137" s="35"/>
      <c r="O137" s="48"/>
      <c r="P137" s="51"/>
      <c r="Q137" s="48"/>
    </row>
    <row r="138" spans="1:17" ht="18" customHeight="1" x14ac:dyDescent="0.15">
      <c r="A138" s="38"/>
      <c r="B138" s="39"/>
      <c r="C138" s="39"/>
      <c r="D138" s="40"/>
      <c r="E138" s="41"/>
      <c r="F138" s="42" t="s">
        <v>135</v>
      </c>
      <c r="G138" s="56">
        <v>1</v>
      </c>
      <c r="H138" s="66">
        <v>760000</v>
      </c>
      <c r="I138" s="31">
        <f>G138*H138</f>
        <v>760000</v>
      </c>
      <c r="J138" s="32"/>
      <c r="K138" s="32"/>
      <c r="L138" s="33"/>
      <c r="M138" s="34"/>
      <c r="N138" s="35"/>
      <c r="O138" s="48"/>
      <c r="P138" s="51"/>
      <c r="Q138" s="48"/>
    </row>
    <row r="139" spans="1:17" ht="18" customHeight="1" x14ac:dyDescent="0.15">
      <c r="A139" s="38"/>
      <c r="B139" s="39"/>
      <c r="C139" s="39"/>
      <c r="D139" s="40"/>
      <c r="E139" s="41"/>
      <c r="F139" s="42" t="s">
        <v>136</v>
      </c>
      <c r="G139" s="56">
        <v>1</v>
      </c>
      <c r="H139" s="66">
        <v>800000</v>
      </c>
      <c r="I139" s="31">
        <f>G139*H139</f>
        <v>800000</v>
      </c>
      <c r="J139" s="32"/>
      <c r="K139" s="32"/>
      <c r="L139" s="33"/>
      <c r="M139" s="34"/>
      <c r="N139" s="35"/>
      <c r="O139" s="48"/>
      <c r="P139" s="51"/>
      <c r="Q139" s="48"/>
    </row>
    <row r="140" spans="1:17" ht="18" customHeight="1" x14ac:dyDescent="0.15">
      <c r="A140" s="38"/>
      <c r="B140" s="39"/>
      <c r="C140" s="39"/>
      <c r="D140" s="40"/>
      <c r="E140" s="41"/>
      <c r="F140" s="42" t="s">
        <v>137</v>
      </c>
      <c r="G140" s="56">
        <v>1</v>
      </c>
      <c r="H140" s="66">
        <v>3500000</v>
      </c>
      <c r="I140" s="55">
        <f>G140*H140</f>
        <v>3500000</v>
      </c>
      <c r="J140" s="32"/>
      <c r="K140" s="32"/>
      <c r="L140" s="33"/>
      <c r="M140" s="34"/>
      <c r="N140" s="35"/>
      <c r="O140" s="48"/>
      <c r="P140" s="51"/>
      <c r="Q140" s="48"/>
    </row>
    <row r="141" spans="1:17" ht="18" customHeight="1" x14ac:dyDescent="0.15">
      <c r="A141" s="38"/>
      <c r="B141" s="39"/>
      <c r="C141" s="39"/>
      <c r="D141" s="40"/>
      <c r="E141" s="41"/>
      <c r="F141" s="42"/>
      <c r="G141" s="56"/>
      <c r="H141" s="66"/>
      <c r="I141" s="31"/>
      <c r="J141" s="32">
        <f>SUM(I137:I140)</f>
        <v>5860000</v>
      </c>
      <c r="K141" s="32">
        <f>$K$5*J141</f>
        <v>644600</v>
      </c>
      <c r="L141" s="33">
        <f>J141+K141</f>
        <v>6504600</v>
      </c>
      <c r="M141" s="34">
        <v>0</v>
      </c>
      <c r="N141" s="35">
        <v>0</v>
      </c>
      <c r="O141" s="48">
        <f>L141-K141</f>
        <v>5860000</v>
      </c>
      <c r="P141" s="51">
        <v>0</v>
      </c>
      <c r="Q141" s="48">
        <f>L141-P141</f>
        <v>6504600</v>
      </c>
    </row>
    <row r="142" spans="1:17" ht="18" customHeight="1" x14ac:dyDescent="0.15">
      <c r="A142" s="38"/>
      <c r="B142" s="39"/>
      <c r="C142" s="39"/>
      <c r="D142" s="40"/>
      <c r="E142" s="41"/>
      <c r="F142" s="42"/>
      <c r="G142" s="56"/>
      <c r="H142" s="66"/>
      <c r="I142" s="31"/>
      <c r="J142" s="32"/>
      <c r="K142" s="32"/>
      <c r="L142" s="33"/>
      <c r="M142" s="34"/>
      <c r="N142" s="35"/>
      <c r="O142" s="48"/>
      <c r="P142" s="51"/>
      <c r="Q142" s="48"/>
    </row>
    <row r="143" spans="1:17" ht="18" customHeight="1" x14ac:dyDescent="0.15">
      <c r="A143" s="38">
        <v>24</v>
      </c>
      <c r="B143" s="39">
        <v>46044</v>
      </c>
      <c r="C143" s="39">
        <v>46044</v>
      </c>
      <c r="D143" s="49" t="s">
        <v>24</v>
      </c>
      <c r="E143" s="41" t="s">
        <v>138</v>
      </c>
      <c r="F143" s="42" t="s">
        <v>29</v>
      </c>
      <c r="G143" s="43">
        <v>6</v>
      </c>
      <c r="H143" s="53">
        <f>100/111*720000</f>
        <v>648648.64864864864</v>
      </c>
      <c r="I143" s="31">
        <f>G143*H143</f>
        <v>3891891.8918918921</v>
      </c>
      <c r="J143" s="32">
        <f>I143</f>
        <v>3891891.8918918921</v>
      </c>
      <c r="K143" s="32">
        <f>$K$5*J143</f>
        <v>428108.10810810811</v>
      </c>
      <c r="L143" s="33">
        <f>J143+K143</f>
        <v>4320000</v>
      </c>
      <c r="M143" s="34">
        <f>L143-K143</f>
        <v>3891891.8918918921</v>
      </c>
      <c r="N143" s="35">
        <v>0</v>
      </c>
      <c r="O143" s="48">
        <v>0</v>
      </c>
      <c r="P143" s="51">
        <v>0</v>
      </c>
      <c r="Q143" s="48">
        <f>L143-P143</f>
        <v>4320000</v>
      </c>
    </row>
    <row r="144" spans="1:17" ht="18" customHeight="1" x14ac:dyDescent="0.15">
      <c r="A144" s="38"/>
      <c r="B144" s="39"/>
      <c r="C144" s="39"/>
      <c r="D144" s="40"/>
      <c r="E144" s="41"/>
      <c r="F144" s="42"/>
      <c r="G144" s="56"/>
      <c r="H144" s="66"/>
      <c r="I144" s="31"/>
      <c r="J144" s="32"/>
      <c r="K144" s="32"/>
      <c r="L144" s="33"/>
      <c r="M144" s="34"/>
      <c r="N144" s="35"/>
      <c r="O144" s="48"/>
      <c r="P144" s="51"/>
      <c r="Q144" s="48"/>
    </row>
    <row r="145" spans="1:17" ht="18" customHeight="1" x14ac:dyDescent="0.15">
      <c r="A145" s="38">
        <v>25</v>
      </c>
      <c r="B145" s="39">
        <v>46044</v>
      </c>
      <c r="C145" s="39">
        <v>46044</v>
      </c>
      <c r="D145" s="49" t="s">
        <v>24</v>
      </c>
      <c r="E145" s="41" t="s">
        <v>139</v>
      </c>
      <c r="F145" s="42" t="s">
        <v>140</v>
      </c>
      <c r="G145" s="69">
        <v>2</v>
      </c>
      <c r="H145" s="71">
        <f>2*260*6306.3063</f>
        <v>3279279.2760000001</v>
      </c>
      <c r="I145" s="31">
        <f>G145*H145</f>
        <v>6558558.5520000001</v>
      </c>
      <c r="J145" s="32"/>
      <c r="K145" s="32"/>
      <c r="L145" s="33"/>
      <c r="M145" s="34"/>
      <c r="N145" s="35"/>
      <c r="O145" s="48"/>
      <c r="P145" s="51"/>
      <c r="Q145" s="48"/>
    </row>
    <row r="146" spans="1:17" ht="18" customHeight="1" x14ac:dyDescent="0.15">
      <c r="A146" s="38"/>
      <c r="B146" s="39"/>
      <c r="C146" s="39"/>
      <c r="D146" s="40"/>
      <c r="E146" s="41"/>
      <c r="F146" s="42" t="s">
        <v>141</v>
      </c>
      <c r="G146" s="54">
        <v>4</v>
      </c>
      <c r="H146" s="50">
        <f>1.82*260*6306.3063</f>
        <v>2984144.1411600001</v>
      </c>
      <c r="I146" s="55">
        <f>G146*H146</f>
        <v>11936576.56464</v>
      </c>
      <c r="J146" s="32"/>
      <c r="K146" s="32"/>
      <c r="L146" s="33"/>
      <c r="M146" s="34"/>
      <c r="N146" s="35"/>
      <c r="O146" s="48"/>
      <c r="P146" s="51"/>
      <c r="Q146" s="48"/>
    </row>
    <row r="147" spans="1:17" ht="18" customHeight="1" x14ac:dyDescent="0.15">
      <c r="A147" s="38"/>
      <c r="B147" s="39"/>
      <c r="C147" s="39"/>
      <c r="D147" s="40"/>
      <c r="E147" s="41"/>
      <c r="F147" s="42"/>
      <c r="G147" s="56"/>
      <c r="H147" s="67"/>
      <c r="I147" s="31"/>
      <c r="J147" s="32">
        <f>SUM(I145:I146)</f>
        <v>18495135.116640002</v>
      </c>
      <c r="K147" s="32">
        <f>$K$5*J147</f>
        <v>2034464.8628304002</v>
      </c>
      <c r="L147" s="33">
        <f>J147+K147</f>
        <v>20529599.979470402</v>
      </c>
      <c r="M147" s="34">
        <f>L147-K147</f>
        <v>18495135.116640002</v>
      </c>
      <c r="N147" s="35">
        <v>0</v>
      </c>
      <c r="O147" s="48">
        <v>0</v>
      </c>
      <c r="P147" s="51">
        <v>0</v>
      </c>
      <c r="Q147" s="48">
        <f>L147-P147</f>
        <v>20529599.979470402</v>
      </c>
    </row>
    <row r="148" spans="1:17" ht="18" customHeight="1" x14ac:dyDescent="0.15">
      <c r="A148" s="38"/>
      <c r="B148" s="39"/>
      <c r="C148" s="39"/>
      <c r="D148" s="40"/>
      <c r="E148" s="41"/>
      <c r="F148" s="42"/>
      <c r="G148" s="56"/>
      <c r="H148" s="67"/>
      <c r="I148" s="31"/>
      <c r="J148" s="32"/>
      <c r="K148" s="32"/>
      <c r="L148" s="33"/>
      <c r="M148" s="34"/>
      <c r="N148" s="35"/>
      <c r="O148" s="48"/>
      <c r="P148" s="51"/>
      <c r="Q148" s="48"/>
    </row>
    <row r="149" spans="1:17" ht="18" customHeight="1" x14ac:dyDescent="0.15">
      <c r="A149" s="38">
        <v>26</v>
      </c>
      <c r="B149" s="39">
        <v>46044</v>
      </c>
      <c r="C149" s="39">
        <v>46044</v>
      </c>
      <c r="D149" s="49" t="s">
        <v>24</v>
      </c>
      <c r="E149" s="41" t="s">
        <v>142</v>
      </c>
      <c r="F149" s="42" t="s">
        <v>40</v>
      </c>
      <c r="G149" s="31">
        <v>4</v>
      </c>
      <c r="H149" s="57">
        <f>5*126126.126</f>
        <v>630630.63</v>
      </c>
      <c r="I149" s="31">
        <f>G149*H149</f>
        <v>2522522.52</v>
      </c>
      <c r="J149" s="32"/>
      <c r="K149" s="32"/>
      <c r="L149" s="33"/>
      <c r="M149" s="34"/>
      <c r="N149" s="35"/>
      <c r="O149" s="48"/>
      <c r="P149" s="51"/>
      <c r="Q149" s="48"/>
    </row>
    <row r="150" spans="1:17" ht="18" customHeight="1" x14ac:dyDescent="0.15">
      <c r="A150" s="38"/>
      <c r="B150" s="39"/>
      <c r="C150" s="39"/>
      <c r="D150" s="40"/>
      <c r="E150" s="41"/>
      <c r="F150" s="42" t="s">
        <v>143</v>
      </c>
      <c r="G150" s="31">
        <v>2</v>
      </c>
      <c r="H150" s="53">
        <f>100/111*1250000</f>
        <v>1126126.1261261262</v>
      </c>
      <c r="I150" s="31">
        <f>G150*H150</f>
        <v>2252252.2522522523</v>
      </c>
      <c r="J150" s="32"/>
      <c r="K150" s="32"/>
      <c r="L150" s="33"/>
      <c r="M150" s="34"/>
      <c r="N150" s="35"/>
      <c r="O150" s="48"/>
      <c r="P150" s="51"/>
      <c r="Q150" s="48"/>
    </row>
    <row r="151" spans="1:17" ht="18" customHeight="1" x14ac:dyDescent="0.15">
      <c r="A151" s="38"/>
      <c r="B151" s="39"/>
      <c r="C151" s="39"/>
      <c r="D151" s="40"/>
      <c r="E151" s="41"/>
      <c r="F151" s="42" t="s">
        <v>44</v>
      </c>
      <c r="G151" s="31">
        <v>4</v>
      </c>
      <c r="H151" s="53">
        <f>100/111*1450000</f>
        <v>1306306.3063063063</v>
      </c>
      <c r="I151" s="31">
        <f>G151*H151</f>
        <v>5225225.2252252251</v>
      </c>
      <c r="J151" s="32"/>
      <c r="K151" s="32"/>
      <c r="L151" s="33"/>
      <c r="M151" s="34"/>
      <c r="N151" s="35"/>
      <c r="O151" s="48"/>
      <c r="P151" s="51"/>
      <c r="Q151" s="48"/>
    </row>
    <row r="152" spans="1:17" ht="18" customHeight="1" x14ac:dyDescent="0.15">
      <c r="A152" s="38"/>
      <c r="B152" s="39"/>
      <c r="C152" s="39"/>
      <c r="D152" s="40"/>
      <c r="E152" s="41"/>
      <c r="F152" s="42" t="s">
        <v>144</v>
      </c>
      <c r="G152" s="43">
        <v>2</v>
      </c>
      <c r="H152" s="52">
        <f>100/111*360000</f>
        <v>324324.32432432432</v>
      </c>
      <c r="I152" s="31">
        <f>G152*H152</f>
        <v>648648.64864864864</v>
      </c>
      <c r="J152" s="32"/>
      <c r="K152" s="32"/>
      <c r="L152" s="33"/>
      <c r="M152" s="34"/>
      <c r="N152" s="35"/>
      <c r="O152" s="48"/>
      <c r="P152" s="51"/>
      <c r="Q152" s="48"/>
    </row>
    <row r="153" spans="1:17" ht="18" customHeight="1" x14ac:dyDescent="0.15">
      <c r="A153" s="38"/>
      <c r="B153" s="39"/>
      <c r="C153" s="39"/>
      <c r="D153" s="40"/>
      <c r="E153" s="41"/>
      <c r="F153" s="42" t="s">
        <v>145</v>
      </c>
      <c r="G153" s="43">
        <v>2</v>
      </c>
      <c r="H153" s="52">
        <f>100/111*360000</f>
        <v>324324.32432432432</v>
      </c>
      <c r="I153" s="55">
        <f>G153*H153</f>
        <v>648648.64864864864</v>
      </c>
      <c r="J153" s="32"/>
      <c r="K153" s="32"/>
      <c r="L153" s="33"/>
      <c r="M153" s="34"/>
      <c r="N153" s="35"/>
      <c r="O153" s="48"/>
      <c r="P153" s="51"/>
      <c r="Q153" s="48"/>
    </row>
    <row r="154" spans="1:17" ht="18" customHeight="1" x14ac:dyDescent="0.15">
      <c r="A154" s="38"/>
      <c r="B154" s="64"/>
      <c r="C154" s="39"/>
      <c r="D154" s="40"/>
      <c r="E154" s="41"/>
      <c r="F154" s="42"/>
      <c r="G154" s="56"/>
      <c r="H154" s="67"/>
      <c r="I154" s="31"/>
      <c r="J154" s="32">
        <f>SUM(I149:I153)</f>
        <v>11297297.294774776</v>
      </c>
      <c r="K154" s="32">
        <f>$K$5*J154</f>
        <v>1242702.7024252254</v>
      </c>
      <c r="L154" s="33">
        <f>J154+K154</f>
        <v>12539999.997200001</v>
      </c>
      <c r="M154" s="34">
        <f>L154-K154</f>
        <v>11297297.294774776</v>
      </c>
      <c r="N154" s="35">
        <v>0</v>
      </c>
      <c r="O154" s="48">
        <v>0</v>
      </c>
      <c r="P154" s="51">
        <v>0</v>
      </c>
      <c r="Q154" s="48">
        <f>L154-P154</f>
        <v>12539999.997200001</v>
      </c>
    </row>
    <row r="155" spans="1:17" ht="18" customHeight="1" x14ac:dyDescent="0.15">
      <c r="A155" s="38"/>
      <c r="B155" s="39"/>
      <c r="C155" s="39"/>
      <c r="D155" s="49"/>
      <c r="E155" s="41"/>
      <c r="F155" s="42"/>
      <c r="G155" s="43"/>
      <c r="H155" s="68"/>
      <c r="I155" s="31"/>
      <c r="J155" s="31"/>
      <c r="K155" s="32"/>
      <c r="L155" s="33"/>
      <c r="M155" s="34"/>
      <c r="N155" s="35"/>
      <c r="O155" s="48"/>
      <c r="P155" s="51"/>
      <c r="Q155" s="48"/>
    </row>
    <row r="156" spans="1:17" ht="18" customHeight="1" x14ac:dyDescent="0.15">
      <c r="A156" s="38">
        <v>27</v>
      </c>
      <c r="B156" s="39">
        <v>46048</v>
      </c>
      <c r="C156" s="39">
        <v>46048</v>
      </c>
      <c r="D156" s="40" t="s">
        <v>97</v>
      </c>
      <c r="E156" s="41" t="s">
        <v>146</v>
      </c>
      <c r="F156" s="42" t="s">
        <v>128</v>
      </c>
      <c r="G156" s="31">
        <v>4</v>
      </c>
      <c r="H156" s="53">
        <f>100/111*2500</f>
        <v>2252.2522522522522</v>
      </c>
      <c r="I156" s="31">
        <f>G156*H156</f>
        <v>9009.0090090090089</v>
      </c>
      <c r="J156" s="31"/>
      <c r="K156" s="32"/>
      <c r="L156" s="33"/>
      <c r="M156" s="34"/>
      <c r="N156" s="35"/>
      <c r="O156" s="48"/>
      <c r="P156" s="51"/>
      <c r="Q156" s="48"/>
    </row>
    <row r="157" spans="1:17" ht="18" customHeight="1" x14ac:dyDescent="0.15">
      <c r="A157" s="38"/>
      <c r="B157" s="39"/>
      <c r="C157" s="39"/>
      <c r="D157" s="40"/>
      <c r="E157" s="41"/>
      <c r="F157" s="42" t="s">
        <v>129</v>
      </c>
      <c r="G157" s="31">
        <v>16</v>
      </c>
      <c r="H157" s="53">
        <f>100/111*3500</f>
        <v>3153.1531531531532</v>
      </c>
      <c r="I157" s="55">
        <f>G157*H157</f>
        <v>50450.450450450451</v>
      </c>
      <c r="J157" s="31"/>
      <c r="K157" s="32"/>
      <c r="L157" s="33"/>
      <c r="M157" s="34"/>
      <c r="N157" s="35"/>
      <c r="O157" s="48"/>
      <c r="P157" s="51"/>
      <c r="Q157" s="48"/>
    </row>
    <row r="158" spans="1:17" ht="18" customHeight="1" x14ac:dyDescent="0.15">
      <c r="A158" s="38"/>
      <c r="B158" s="39"/>
      <c r="C158" s="39"/>
      <c r="D158" s="40"/>
      <c r="E158" s="41"/>
      <c r="F158" s="42"/>
      <c r="G158" s="54"/>
      <c r="H158" s="53"/>
      <c r="I158" s="31"/>
      <c r="J158" s="31">
        <f>SUM(I156:I157)</f>
        <v>59459.45945945946</v>
      </c>
      <c r="K158" s="32">
        <f>$K$5*J158</f>
        <v>6540.5405405405409</v>
      </c>
      <c r="L158" s="33">
        <f>J158+K158</f>
        <v>66000</v>
      </c>
      <c r="M158" s="34">
        <f>L158-K158</f>
        <v>59459.45945945946</v>
      </c>
      <c r="N158" s="35">
        <v>0</v>
      </c>
      <c r="O158" s="48">
        <v>0</v>
      </c>
      <c r="P158" s="51">
        <v>66000</v>
      </c>
      <c r="Q158" s="48">
        <f>L158-P158</f>
        <v>0</v>
      </c>
    </row>
    <row r="159" spans="1:17" ht="18" customHeight="1" x14ac:dyDescent="0.15">
      <c r="A159" s="38"/>
      <c r="B159" s="39"/>
      <c r="C159" s="39"/>
      <c r="D159" s="49"/>
      <c r="E159" s="41"/>
      <c r="F159" s="42"/>
      <c r="G159" s="43"/>
      <c r="H159" s="53"/>
      <c r="I159" s="31"/>
      <c r="J159" s="32"/>
      <c r="K159" s="32"/>
      <c r="L159" s="33"/>
      <c r="M159" s="45"/>
      <c r="N159" s="35"/>
      <c r="O159" s="46"/>
      <c r="P159" s="47"/>
      <c r="Q159" s="48"/>
    </row>
    <row r="160" spans="1:17" ht="18" customHeight="1" x14ac:dyDescent="0.15">
      <c r="A160" s="38">
        <v>28</v>
      </c>
      <c r="B160" s="39">
        <v>46048</v>
      </c>
      <c r="C160" s="39">
        <v>46048</v>
      </c>
      <c r="D160" s="40" t="s">
        <v>147</v>
      </c>
      <c r="E160" s="41" t="s">
        <v>45</v>
      </c>
      <c r="F160" s="42" t="s">
        <v>148</v>
      </c>
      <c r="G160" s="56">
        <v>1</v>
      </c>
      <c r="H160" s="67">
        <v>650000</v>
      </c>
      <c r="I160" s="31">
        <f>G160*H160</f>
        <v>650000</v>
      </c>
      <c r="J160" s="32">
        <f>I160</f>
        <v>650000</v>
      </c>
      <c r="K160" s="32">
        <v>0</v>
      </c>
      <c r="L160" s="33">
        <f>J160+K160</f>
        <v>650000</v>
      </c>
      <c r="M160" s="34">
        <v>0</v>
      </c>
      <c r="N160" s="35">
        <v>0</v>
      </c>
      <c r="O160" s="48">
        <f>L160-K160</f>
        <v>650000</v>
      </c>
      <c r="P160" s="51">
        <v>0</v>
      </c>
      <c r="Q160" s="48">
        <f>L160-P160</f>
        <v>650000</v>
      </c>
    </row>
    <row r="161" spans="1:17" ht="18" customHeight="1" x14ac:dyDescent="0.15">
      <c r="A161" s="38"/>
      <c r="B161" s="39"/>
      <c r="C161" s="39"/>
      <c r="D161" s="40"/>
      <c r="E161" s="41"/>
      <c r="F161" s="42"/>
      <c r="G161" s="43"/>
      <c r="H161" s="72"/>
      <c r="I161" s="31"/>
      <c r="J161" s="54"/>
      <c r="K161" s="32"/>
      <c r="L161" s="33"/>
      <c r="M161" s="45"/>
      <c r="N161" s="35"/>
      <c r="O161" s="46"/>
      <c r="P161" s="47"/>
      <c r="Q161" s="48"/>
    </row>
    <row r="162" spans="1:17" ht="18" customHeight="1" x14ac:dyDescent="0.15">
      <c r="A162" s="38">
        <v>29</v>
      </c>
      <c r="B162" s="39">
        <v>46049</v>
      </c>
      <c r="C162" s="39">
        <v>46049</v>
      </c>
      <c r="D162" s="40" t="s">
        <v>97</v>
      </c>
      <c r="E162" s="41" t="s">
        <v>149</v>
      </c>
      <c r="F162" s="42" t="s">
        <v>99</v>
      </c>
      <c r="G162" s="32">
        <v>5</v>
      </c>
      <c r="H162" s="50">
        <f>100/111*390000</f>
        <v>351351.35135135136</v>
      </c>
      <c r="I162" s="31">
        <f>G162*H162</f>
        <v>1756756.7567567569</v>
      </c>
      <c r="J162" s="54"/>
      <c r="K162" s="32"/>
      <c r="L162" s="33"/>
      <c r="M162" s="45"/>
      <c r="N162" s="35"/>
      <c r="O162" s="46"/>
      <c r="P162" s="47"/>
      <c r="Q162" s="48"/>
    </row>
    <row r="163" spans="1:17" ht="18" customHeight="1" x14ac:dyDescent="0.15">
      <c r="A163" s="38"/>
      <c r="B163" s="39"/>
      <c r="C163" s="39"/>
      <c r="D163" s="40"/>
      <c r="E163" s="41"/>
      <c r="F163" s="42" t="s">
        <v>100</v>
      </c>
      <c r="G163" s="32">
        <v>5</v>
      </c>
      <c r="H163" s="50">
        <f>100/111*555000</f>
        <v>500000</v>
      </c>
      <c r="I163" s="31">
        <f>G163*H163</f>
        <v>2500000</v>
      </c>
      <c r="J163" s="54"/>
      <c r="K163" s="32"/>
      <c r="L163" s="33"/>
      <c r="M163" s="45"/>
      <c r="N163" s="35"/>
      <c r="O163" s="46"/>
      <c r="P163" s="47"/>
      <c r="Q163" s="48"/>
    </row>
    <row r="164" spans="1:17" ht="18" customHeight="1" x14ac:dyDescent="0.15">
      <c r="A164" s="38"/>
      <c r="B164" s="39"/>
      <c r="C164" s="39"/>
      <c r="D164" s="40"/>
      <c r="E164" s="41"/>
      <c r="F164" s="42" t="s">
        <v>150</v>
      </c>
      <c r="G164" s="32">
        <v>2</v>
      </c>
      <c r="H164" s="50">
        <f>100/111*905000</f>
        <v>815315.31531531538</v>
      </c>
      <c r="I164" s="55">
        <f>G164*H164</f>
        <v>1630630.6306306308</v>
      </c>
      <c r="J164" s="54"/>
      <c r="K164" s="32"/>
      <c r="L164" s="33"/>
      <c r="M164" s="45"/>
      <c r="N164" s="35"/>
      <c r="O164" s="46"/>
      <c r="P164" s="47"/>
      <c r="Q164" s="48"/>
    </row>
    <row r="165" spans="1:17" ht="18" customHeight="1" x14ac:dyDescent="0.15">
      <c r="A165" s="38"/>
      <c r="B165" s="39"/>
      <c r="C165" s="39"/>
      <c r="D165" s="40"/>
      <c r="E165" s="41"/>
      <c r="F165" s="42"/>
      <c r="G165" s="43"/>
      <c r="H165" s="72"/>
      <c r="I165" s="31"/>
      <c r="J165" s="54">
        <f>SUM(I162:I164)</f>
        <v>5887387.3873873875</v>
      </c>
      <c r="K165" s="32">
        <f>$K$5*J165</f>
        <v>647612.61261261266</v>
      </c>
      <c r="L165" s="33">
        <f>J165+K165</f>
        <v>6535000</v>
      </c>
      <c r="M165" s="34">
        <f>L165-K165</f>
        <v>5887387.3873873875</v>
      </c>
      <c r="N165" s="35">
        <v>0</v>
      </c>
      <c r="O165" s="48">
        <v>0</v>
      </c>
      <c r="P165" s="51">
        <v>0</v>
      </c>
      <c r="Q165" s="48">
        <f>L165-P165</f>
        <v>6535000</v>
      </c>
    </row>
    <row r="166" spans="1:17" ht="18" customHeight="1" x14ac:dyDescent="0.15">
      <c r="A166" s="38"/>
      <c r="B166" s="39"/>
      <c r="C166" s="39"/>
      <c r="D166" s="40"/>
      <c r="E166" s="41"/>
      <c r="F166" s="42"/>
      <c r="G166" s="43"/>
      <c r="H166" s="72"/>
      <c r="I166" s="31"/>
      <c r="J166" s="54"/>
      <c r="K166" s="32"/>
      <c r="L166" s="33"/>
      <c r="M166" s="45"/>
      <c r="N166" s="35"/>
      <c r="O166" s="46"/>
      <c r="P166" s="47"/>
      <c r="Q166" s="48"/>
    </row>
    <row r="167" spans="1:17" ht="18" customHeight="1" x14ac:dyDescent="0.15">
      <c r="A167" s="38">
        <v>30</v>
      </c>
      <c r="B167" s="39">
        <v>46049</v>
      </c>
      <c r="C167" s="39">
        <v>46049</v>
      </c>
      <c r="D167" s="40" t="s">
        <v>151</v>
      </c>
      <c r="E167" s="41" t="s">
        <v>152</v>
      </c>
      <c r="F167" s="42" t="s">
        <v>153</v>
      </c>
      <c r="G167" s="54">
        <v>11</v>
      </c>
      <c r="H167" s="53">
        <f>(33.44*66217)/11</f>
        <v>201299.68</v>
      </c>
      <c r="I167" s="31">
        <f>G167*H167</f>
        <v>2214296.48</v>
      </c>
      <c r="J167" s="54"/>
      <c r="K167" s="32"/>
      <c r="L167" s="33"/>
      <c r="M167" s="45"/>
      <c r="N167" s="35"/>
      <c r="O167" s="46"/>
      <c r="P167" s="47"/>
      <c r="Q167" s="48"/>
    </row>
    <row r="168" spans="1:17" ht="18" customHeight="1" x14ac:dyDescent="0.15">
      <c r="A168" s="38"/>
      <c r="B168" s="39"/>
      <c r="C168" s="39"/>
      <c r="D168" s="40"/>
      <c r="E168" s="41"/>
      <c r="F168" s="42" t="s">
        <v>154</v>
      </c>
      <c r="G168" s="54">
        <v>25</v>
      </c>
      <c r="H168" s="53">
        <f>(72.75*66217)/25</f>
        <v>192691.47</v>
      </c>
      <c r="I168" s="55">
        <f>G168*H168</f>
        <v>4817286.75</v>
      </c>
      <c r="J168" s="54"/>
      <c r="K168" s="32"/>
      <c r="L168" s="33"/>
      <c r="M168" s="45"/>
      <c r="N168" s="35"/>
      <c r="O168" s="46"/>
      <c r="P168" s="47"/>
      <c r="Q168" s="48"/>
    </row>
    <row r="169" spans="1:17" ht="18" customHeight="1" x14ac:dyDescent="0.15">
      <c r="A169" s="38"/>
      <c r="B169" s="39"/>
      <c r="C169" s="39"/>
      <c r="D169" s="40"/>
      <c r="E169" s="41"/>
      <c r="F169" s="42"/>
      <c r="G169" s="43"/>
      <c r="H169" s="72"/>
      <c r="I169" s="31"/>
      <c r="J169" s="54">
        <f>SUM(I167:I168)</f>
        <v>7031583.2300000004</v>
      </c>
      <c r="K169" s="32">
        <f>$K$5*J169</f>
        <v>773474.1553000001</v>
      </c>
      <c r="L169" s="33">
        <f>J169+K169</f>
        <v>7805057.3853000002</v>
      </c>
      <c r="M169" s="34">
        <f>L169-K169</f>
        <v>7031583.2300000004</v>
      </c>
      <c r="N169" s="35">
        <v>0</v>
      </c>
      <c r="O169" s="48">
        <v>0</v>
      </c>
      <c r="P169" s="51">
        <v>0</v>
      </c>
      <c r="Q169" s="48">
        <f>L169-P169</f>
        <v>7805057.3853000002</v>
      </c>
    </row>
    <row r="170" spans="1:17" ht="18" customHeight="1" x14ac:dyDescent="0.15">
      <c r="A170" s="38"/>
      <c r="B170" s="39"/>
      <c r="C170" s="39"/>
      <c r="D170" s="40"/>
      <c r="E170" s="41"/>
      <c r="F170" s="42"/>
      <c r="G170" s="43"/>
      <c r="H170" s="72"/>
      <c r="I170" s="31"/>
      <c r="J170" s="54"/>
      <c r="K170" s="32"/>
      <c r="L170" s="33"/>
      <c r="M170" s="45"/>
      <c r="N170" s="35"/>
      <c r="O170" s="46"/>
      <c r="P170" s="47"/>
      <c r="Q170" s="48"/>
    </row>
    <row r="171" spans="1:17" ht="18" customHeight="1" x14ac:dyDescent="0.15">
      <c r="A171" s="38">
        <v>31</v>
      </c>
      <c r="B171" s="39">
        <v>46050</v>
      </c>
      <c r="C171" s="39">
        <v>46050</v>
      </c>
      <c r="D171" s="40" t="s">
        <v>97</v>
      </c>
      <c r="E171" s="41" t="s">
        <v>155</v>
      </c>
      <c r="F171" s="42" t="s">
        <v>156</v>
      </c>
      <c r="G171" s="32">
        <v>2</v>
      </c>
      <c r="H171" s="50">
        <f>100/111*230000</f>
        <v>207207.20720720722</v>
      </c>
      <c r="I171" s="31">
        <f>G171*H171</f>
        <v>414414.41441441444</v>
      </c>
      <c r="J171" s="54">
        <f>I171</f>
        <v>414414.41441441444</v>
      </c>
      <c r="K171" s="32">
        <f>$K$5*J171</f>
        <v>45585.585585585592</v>
      </c>
      <c r="L171" s="33">
        <f>J171+K171</f>
        <v>460000</v>
      </c>
      <c r="M171" s="34">
        <f>L171-K171</f>
        <v>414414.41441441444</v>
      </c>
      <c r="N171" s="35">
        <v>0</v>
      </c>
      <c r="O171" s="48">
        <v>0</v>
      </c>
      <c r="P171" s="51">
        <v>0</v>
      </c>
      <c r="Q171" s="48">
        <f>L171-P171</f>
        <v>460000</v>
      </c>
    </row>
    <row r="172" spans="1:17" ht="18" customHeight="1" x14ac:dyDescent="0.15">
      <c r="A172" s="38"/>
      <c r="B172" s="39"/>
      <c r="C172" s="39"/>
      <c r="D172" s="40"/>
      <c r="E172" s="41"/>
      <c r="F172" s="42"/>
      <c r="G172" s="43"/>
      <c r="H172" s="72"/>
      <c r="I172" s="31"/>
      <c r="J172" s="54"/>
      <c r="K172" s="32"/>
      <c r="L172" s="33"/>
      <c r="M172" s="45"/>
      <c r="N172" s="35"/>
      <c r="O172" s="46"/>
      <c r="P172" s="47"/>
      <c r="Q172" s="48"/>
    </row>
    <row r="173" spans="1:17" ht="18" customHeight="1" x14ac:dyDescent="0.15">
      <c r="A173" s="38">
        <v>32</v>
      </c>
      <c r="B173" s="39">
        <v>46050</v>
      </c>
      <c r="C173" s="39">
        <v>46050</v>
      </c>
      <c r="D173" s="40" t="s">
        <v>147</v>
      </c>
      <c r="E173" s="41" t="s">
        <v>45</v>
      </c>
      <c r="F173" s="42" t="s">
        <v>157</v>
      </c>
      <c r="G173" s="43">
        <v>5</v>
      </c>
      <c r="H173" s="72">
        <v>650000</v>
      </c>
      <c r="I173" s="31">
        <f>G173*H173</f>
        <v>3250000</v>
      </c>
      <c r="J173" s="32">
        <f>I173</f>
        <v>3250000</v>
      </c>
      <c r="K173" s="32">
        <v>0</v>
      </c>
      <c r="L173" s="33">
        <f>J173+K173</f>
        <v>3250000</v>
      </c>
      <c r="M173" s="34">
        <v>0</v>
      </c>
      <c r="N173" s="35">
        <v>0</v>
      </c>
      <c r="O173" s="48">
        <f>L173-K173</f>
        <v>3250000</v>
      </c>
      <c r="P173" s="51">
        <v>0</v>
      </c>
      <c r="Q173" s="48">
        <f>L173-P173</f>
        <v>3250000</v>
      </c>
    </row>
    <row r="174" spans="1:17" ht="18" customHeight="1" x14ac:dyDescent="0.15">
      <c r="A174" s="38"/>
      <c r="B174" s="64"/>
      <c r="C174" s="39"/>
      <c r="D174" s="40"/>
      <c r="E174" s="41"/>
      <c r="F174" s="42"/>
      <c r="G174" s="32"/>
      <c r="H174" s="57"/>
      <c r="I174" s="31"/>
      <c r="J174" s="43"/>
      <c r="K174" s="32"/>
      <c r="L174" s="33"/>
      <c r="M174" s="45"/>
      <c r="N174" s="35"/>
      <c r="O174" s="46"/>
      <c r="P174" s="47"/>
      <c r="Q174" s="48"/>
    </row>
    <row r="175" spans="1:17" ht="18" customHeight="1" x14ac:dyDescent="0.15">
      <c r="A175" s="38">
        <v>33</v>
      </c>
      <c r="B175" s="39">
        <v>46052</v>
      </c>
      <c r="C175" s="39">
        <v>46052</v>
      </c>
      <c r="D175" s="40" t="s">
        <v>151</v>
      </c>
      <c r="E175" s="41" t="s">
        <v>158</v>
      </c>
      <c r="F175" s="42" t="s">
        <v>153</v>
      </c>
      <c r="G175" s="54">
        <v>22</v>
      </c>
      <c r="H175" s="50">
        <f>(66.88*66217)/22</f>
        <v>201299.68</v>
      </c>
      <c r="I175" s="31">
        <f>G175*H175</f>
        <v>4428592.96</v>
      </c>
      <c r="J175" s="43">
        <f>I175</f>
        <v>4428592.96</v>
      </c>
      <c r="K175" s="32">
        <f>$K$5*J175</f>
        <v>487145.22560000001</v>
      </c>
      <c r="L175" s="33">
        <f>J175+K175</f>
        <v>4915738.1855999995</v>
      </c>
      <c r="M175" s="34">
        <f>L175-K175</f>
        <v>4428592.959999999</v>
      </c>
      <c r="N175" s="35">
        <v>0</v>
      </c>
      <c r="O175" s="48">
        <v>0</v>
      </c>
      <c r="P175" s="51">
        <v>0</v>
      </c>
      <c r="Q175" s="48">
        <f>L175-P175</f>
        <v>4915738.1855999995</v>
      </c>
    </row>
    <row r="176" spans="1:17" ht="18" customHeight="1" x14ac:dyDescent="0.15">
      <c r="A176" s="38"/>
      <c r="B176" s="39"/>
      <c r="C176" s="39"/>
      <c r="D176" s="40"/>
      <c r="E176" s="41"/>
      <c r="F176" s="42"/>
      <c r="G176" s="54"/>
      <c r="H176" s="57"/>
      <c r="I176" s="31"/>
      <c r="J176" s="43"/>
      <c r="K176" s="32"/>
      <c r="L176" s="33"/>
      <c r="M176" s="34"/>
      <c r="N176" s="35"/>
      <c r="O176" s="48"/>
      <c r="P176" s="51"/>
      <c r="Q176" s="48"/>
    </row>
    <row r="177" spans="1:17" ht="18" customHeight="1" x14ac:dyDescent="0.15">
      <c r="A177" s="38">
        <v>34</v>
      </c>
      <c r="B177" s="39">
        <v>46052</v>
      </c>
      <c r="C177" s="39">
        <v>46052</v>
      </c>
      <c r="D177" s="49" t="s">
        <v>24</v>
      </c>
      <c r="E177" s="41" t="s">
        <v>159</v>
      </c>
      <c r="F177" s="42" t="s">
        <v>160</v>
      </c>
      <c r="G177" s="43">
        <v>6</v>
      </c>
      <c r="H177" s="53">
        <f>100/111*90000</f>
        <v>81081.08108108108</v>
      </c>
      <c r="I177" s="31">
        <f>G177*H177</f>
        <v>486486.48648648651</v>
      </c>
      <c r="J177" s="32">
        <f>I177</f>
        <v>486486.48648648651</v>
      </c>
      <c r="K177" s="32">
        <f>$K$5*J177</f>
        <v>53513.513513513513</v>
      </c>
      <c r="L177" s="33">
        <f>J177+K177</f>
        <v>540000</v>
      </c>
      <c r="M177" s="34">
        <f>L177-K177</f>
        <v>486486.48648648651</v>
      </c>
      <c r="N177" s="35">
        <v>0</v>
      </c>
      <c r="O177" s="48">
        <v>0</v>
      </c>
      <c r="P177" s="51">
        <v>0</v>
      </c>
      <c r="Q177" s="48">
        <f>L177-P177</f>
        <v>540000</v>
      </c>
    </row>
    <row r="178" spans="1:17" ht="18" customHeight="1" x14ac:dyDescent="0.15">
      <c r="A178" s="38"/>
      <c r="B178" s="39"/>
      <c r="C178" s="39"/>
      <c r="D178" s="49"/>
      <c r="E178" s="41"/>
      <c r="F178" s="42"/>
      <c r="G178" s="43"/>
      <c r="H178" s="53"/>
      <c r="I178" s="31"/>
      <c r="J178" s="54"/>
      <c r="K178" s="32"/>
      <c r="L178" s="33"/>
      <c r="M178" s="34"/>
      <c r="N178" s="35"/>
      <c r="O178" s="48"/>
      <c r="P178" s="51"/>
      <c r="Q178" s="48"/>
    </row>
    <row r="179" spans="1:17" ht="18" customHeight="1" x14ac:dyDescent="0.15">
      <c r="A179" s="38">
        <v>35</v>
      </c>
      <c r="B179" s="39">
        <v>46052</v>
      </c>
      <c r="C179" s="39">
        <v>46052</v>
      </c>
      <c r="D179" s="49" t="s">
        <v>24</v>
      </c>
      <c r="E179" s="41" t="s">
        <v>161</v>
      </c>
      <c r="F179" s="42" t="s">
        <v>162</v>
      </c>
      <c r="G179" s="43">
        <v>2</v>
      </c>
      <c r="H179" s="53">
        <f>100/111*533000</f>
        <v>480180.18018018018</v>
      </c>
      <c r="I179" s="31">
        <f>G179*H179</f>
        <v>960360.36036036036</v>
      </c>
      <c r="J179" s="54"/>
      <c r="K179" s="32"/>
      <c r="L179" s="33"/>
      <c r="M179" s="34"/>
      <c r="N179" s="35"/>
      <c r="O179" s="48"/>
      <c r="P179" s="51"/>
      <c r="Q179" s="48"/>
    </row>
    <row r="180" spans="1:17" ht="18" customHeight="1" x14ac:dyDescent="0.15">
      <c r="A180" s="38"/>
      <c r="B180" s="39"/>
      <c r="C180" s="39"/>
      <c r="D180" s="49"/>
      <c r="E180" s="41"/>
      <c r="F180" s="42" t="s">
        <v>163</v>
      </c>
      <c r="G180" s="43">
        <v>4</v>
      </c>
      <c r="H180" s="53">
        <f>100/111*90000</f>
        <v>81081.08108108108</v>
      </c>
      <c r="I180" s="55">
        <f>G180*H180</f>
        <v>324324.32432432432</v>
      </c>
      <c r="J180" s="54"/>
      <c r="K180" s="32"/>
      <c r="L180" s="33"/>
      <c r="M180" s="34"/>
      <c r="N180" s="35"/>
      <c r="O180" s="48"/>
      <c r="P180" s="51"/>
      <c r="Q180" s="48"/>
    </row>
    <row r="181" spans="1:17" ht="18" customHeight="1" x14ac:dyDescent="0.15">
      <c r="A181" s="38"/>
      <c r="B181" s="39"/>
      <c r="C181" s="39"/>
      <c r="D181" s="40"/>
      <c r="E181" s="41"/>
      <c r="F181" s="42"/>
      <c r="G181" s="54"/>
      <c r="H181" s="57"/>
      <c r="I181" s="31"/>
      <c r="J181" s="43">
        <f>SUM(I179:I180)</f>
        <v>1284684.6846846847</v>
      </c>
      <c r="K181" s="32">
        <f>$K$5*J181</f>
        <v>141315.31531531533</v>
      </c>
      <c r="L181" s="33">
        <f>J181+K181</f>
        <v>1426000</v>
      </c>
      <c r="M181" s="34">
        <f>L181-K181</f>
        <v>1284684.6846846847</v>
      </c>
      <c r="N181" s="35">
        <v>0</v>
      </c>
      <c r="O181" s="48">
        <v>0</v>
      </c>
      <c r="P181" s="51">
        <v>0</v>
      </c>
      <c r="Q181" s="48">
        <f>L181-P181</f>
        <v>1426000</v>
      </c>
    </row>
    <row r="182" spans="1:17" ht="18" customHeight="1" x14ac:dyDescent="0.15">
      <c r="A182" s="38"/>
      <c r="B182" s="39"/>
      <c r="C182" s="39"/>
      <c r="D182" s="40"/>
      <c r="E182" s="41"/>
      <c r="F182" s="42" t="s">
        <v>107</v>
      </c>
      <c r="G182" s="69">
        <v>1</v>
      </c>
      <c r="H182" s="70">
        <v>35000</v>
      </c>
      <c r="I182" s="31">
        <f>G182*H182</f>
        <v>35000</v>
      </c>
      <c r="J182" s="31">
        <f>I182</f>
        <v>35000</v>
      </c>
      <c r="K182" s="32">
        <v>0</v>
      </c>
      <c r="L182" s="33">
        <f>J182+K182</f>
        <v>35000</v>
      </c>
      <c r="M182" s="34">
        <v>0</v>
      </c>
      <c r="N182" s="35">
        <v>0</v>
      </c>
      <c r="O182" s="48">
        <f>L182-K182</f>
        <v>35000</v>
      </c>
      <c r="P182" s="51">
        <v>0</v>
      </c>
      <c r="Q182" s="48">
        <f>L182-P182</f>
        <v>35000</v>
      </c>
    </row>
    <row r="183" spans="1:17" ht="18" customHeight="1" x14ac:dyDescent="0.15">
      <c r="A183" s="38"/>
      <c r="B183" s="39"/>
      <c r="C183" s="39"/>
      <c r="D183" s="40"/>
      <c r="E183" s="41"/>
      <c r="F183" s="42"/>
      <c r="G183" s="43"/>
      <c r="H183" s="72"/>
      <c r="I183" s="31"/>
      <c r="J183" s="31"/>
      <c r="K183" s="32"/>
      <c r="L183" s="33"/>
      <c r="M183" s="34"/>
      <c r="N183" s="35"/>
      <c r="O183" s="48"/>
      <c r="P183" s="51"/>
      <c r="Q183" s="48"/>
    </row>
    <row r="184" spans="1:17" ht="18" customHeight="1" x14ac:dyDescent="0.15">
      <c r="A184" s="73"/>
      <c r="B184" s="74"/>
      <c r="C184" s="74"/>
      <c r="D184" s="75"/>
      <c r="E184" s="75"/>
      <c r="F184" s="76"/>
      <c r="G184" s="77"/>
      <c r="H184" s="77"/>
      <c r="I184" s="77"/>
      <c r="J184" s="78"/>
      <c r="K184" s="78">
        <f t="shared" ref="K184:Q184" si="3">SUM(K6:K183)</f>
        <v>121536159.23910023</v>
      </c>
      <c r="L184" s="79">
        <f t="shared" si="3"/>
        <v>1246548333.2309206</v>
      </c>
      <c r="M184" s="80">
        <f t="shared" si="3"/>
        <v>1109158318.1359644</v>
      </c>
      <c r="N184" s="81">
        <f t="shared" si="3"/>
        <v>5855855.8558558561</v>
      </c>
      <c r="O184" s="82">
        <f t="shared" si="3"/>
        <v>9998000</v>
      </c>
      <c r="P184" s="83">
        <f t="shared" si="3"/>
        <v>120000</v>
      </c>
      <c r="Q184" s="83">
        <f t="shared" si="3"/>
        <v>1246428333.2309206</v>
      </c>
    </row>
    <row r="185" spans="1:17" ht="14" x14ac:dyDescent="0.15">
      <c r="A185" s="29"/>
      <c r="B185" s="29"/>
      <c r="C185" s="29"/>
      <c r="D185" s="84"/>
      <c r="E185" s="84"/>
      <c r="F185" s="84" t="s">
        <v>164</v>
      </c>
      <c r="G185" s="59"/>
      <c r="H185" s="59"/>
      <c r="I185" s="85"/>
      <c r="J185" s="85"/>
      <c r="K185" s="85"/>
      <c r="L185" s="85"/>
      <c r="M185" s="85"/>
      <c r="N185" s="85"/>
      <c r="O185" s="85"/>
      <c r="P185" s="85"/>
      <c r="Q185" s="85"/>
    </row>
    <row r="186" spans="1:17" ht="14" x14ac:dyDescent="0.15">
      <c r="A186" s="86"/>
      <c r="B186" s="29"/>
      <c r="C186" s="87" t="s">
        <v>165</v>
      </c>
      <c r="D186" s="84"/>
      <c r="E186" s="84"/>
      <c r="F186" s="84"/>
      <c r="G186" s="59"/>
      <c r="H186" s="88"/>
      <c r="I186" s="85"/>
      <c r="J186" s="85"/>
      <c r="K186" s="85"/>
      <c r="L186" s="85"/>
      <c r="M186" s="85"/>
      <c r="N186" s="85"/>
      <c r="O186" s="89">
        <f>K184+M184+N184+O184</f>
        <v>1246548333.2309206</v>
      </c>
      <c r="P186" s="85"/>
      <c r="Q186" s="85"/>
    </row>
    <row r="187" spans="1:17" ht="14" x14ac:dyDescent="0.15">
      <c r="A187" s="29"/>
      <c r="B187" s="29"/>
      <c r="C187" s="87" t="s">
        <v>166</v>
      </c>
      <c r="D187" s="84"/>
      <c r="E187" s="84"/>
      <c r="G187" s="90"/>
      <c r="H187" s="91"/>
      <c r="I187" s="92"/>
      <c r="J187" s="85"/>
      <c r="K187" s="92"/>
      <c r="L187" s="93"/>
      <c r="M187" s="84"/>
      <c r="N187" s="84"/>
    </row>
    <row r="188" spans="1:17" ht="14" x14ac:dyDescent="0.15">
      <c r="C188" s="87" t="s">
        <v>167</v>
      </c>
      <c r="D188" s="2"/>
      <c r="E188" s="2"/>
      <c r="J188" s="92"/>
    </row>
    <row r="189" spans="1:17" ht="14" x14ac:dyDescent="0.15">
      <c r="A189" s="94"/>
      <c r="D189" s="2"/>
      <c r="E189" s="2"/>
    </row>
    <row r="190" spans="1:17" s="2" customFormat="1" ht="14" x14ac:dyDescent="0.15">
      <c r="A190" s="94"/>
      <c r="B190" s="1"/>
      <c r="C190" s="1"/>
      <c r="J190" s="4"/>
    </row>
    <row r="191" spans="1:17" s="2" customFormat="1" ht="14" x14ac:dyDescent="0.15">
      <c r="A191" s="94"/>
      <c r="B191" s="1"/>
      <c r="C191" s="1"/>
    </row>
    <row r="192" spans="1:17" s="2" customFormat="1" ht="14" x14ac:dyDescent="0.15">
      <c r="A192" s="94"/>
      <c r="B192" s="1"/>
      <c r="C192" s="1"/>
    </row>
    <row r="193" spans="1:3" s="2" customFormat="1" ht="14" x14ac:dyDescent="0.15">
      <c r="A193" s="94"/>
      <c r="B193" s="1"/>
      <c r="C193" s="1"/>
    </row>
    <row r="194" spans="1:3" s="2" customFormat="1" ht="14" x14ac:dyDescent="0.15">
      <c r="A194" s="94"/>
      <c r="B194" s="1"/>
      <c r="C194" s="1"/>
    </row>
    <row r="195" spans="1:3" s="2" customFormat="1" ht="14" x14ac:dyDescent="0.15">
      <c r="A195" s="94"/>
      <c r="B195" s="1"/>
      <c r="C195" s="1"/>
    </row>
    <row r="196" spans="1:3" s="2" customFormat="1" ht="14" x14ac:dyDescent="0.15">
      <c r="A196" s="94"/>
      <c r="B196" s="1"/>
      <c r="C196" s="1"/>
    </row>
    <row r="197" spans="1:3" s="2" customFormat="1" ht="14" x14ac:dyDescent="0.15">
      <c r="A197" s="94"/>
      <c r="B197" s="1"/>
      <c r="C197" s="1"/>
    </row>
    <row r="198" spans="1:3" s="2" customFormat="1" ht="14" x14ac:dyDescent="0.15">
      <c r="A198" s="94"/>
      <c r="B198" s="1"/>
      <c r="C198" s="1"/>
    </row>
    <row r="199" spans="1:3" s="2" customFormat="1" ht="14" x14ac:dyDescent="0.15">
      <c r="A199" s="94"/>
      <c r="B199" s="1"/>
      <c r="C199" s="1"/>
    </row>
    <row r="200" spans="1:3" s="2" customFormat="1" ht="14" x14ac:dyDescent="0.15">
      <c r="A200" s="94"/>
      <c r="B200" s="1"/>
      <c r="C200" s="1"/>
    </row>
    <row r="201" spans="1:3" s="2" customFormat="1" ht="14" x14ac:dyDescent="0.15">
      <c r="A201" s="94"/>
      <c r="B201" s="1"/>
      <c r="C201" s="1"/>
    </row>
    <row r="202" spans="1:3" s="2" customFormat="1" ht="14" x14ac:dyDescent="0.15">
      <c r="A202" s="94"/>
      <c r="B202" s="1"/>
      <c r="C202" s="1"/>
    </row>
    <row r="203" spans="1:3" s="2" customFormat="1" ht="14" x14ac:dyDescent="0.15">
      <c r="A203" s="94"/>
      <c r="B203" s="1"/>
      <c r="C203" s="1"/>
    </row>
    <row r="204" spans="1:3" s="2" customFormat="1" ht="14" x14ac:dyDescent="0.15">
      <c r="A204" s="94"/>
      <c r="B204" s="1"/>
      <c r="C204" s="1"/>
    </row>
    <row r="205" spans="1:3" s="2" customFormat="1" ht="14" x14ac:dyDescent="0.15">
      <c r="A205" s="94"/>
      <c r="B205" s="1"/>
      <c r="C205" s="1"/>
    </row>
    <row r="206" spans="1:3" s="2" customFormat="1" ht="14" x14ac:dyDescent="0.15">
      <c r="A206" s="94"/>
      <c r="B206" s="1"/>
      <c r="C206" s="1"/>
    </row>
    <row r="207" spans="1:3" s="2" customFormat="1" ht="14" x14ac:dyDescent="0.15">
      <c r="A207" s="94"/>
      <c r="B207" s="1"/>
      <c r="C207" s="1"/>
    </row>
    <row r="208" spans="1:3" s="2" customFormat="1" ht="14" x14ac:dyDescent="0.15">
      <c r="A208" s="94"/>
      <c r="B208" s="1"/>
      <c r="C208" s="1"/>
    </row>
    <row r="209" spans="1:3" s="2" customFormat="1" ht="14" x14ac:dyDescent="0.15">
      <c r="A209" s="94"/>
      <c r="B209" s="1"/>
      <c r="C209" s="1"/>
    </row>
    <row r="210" spans="1:3" s="2" customFormat="1" ht="14" x14ac:dyDescent="0.15">
      <c r="A210" s="94"/>
      <c r="B210" s="1"/>
      <c r="C210" s="1"/>
    </row>
    <row r="211" spans="1:3" s="2" customFormat="1" ht="14" x14ac:dyDescent="0.15">
      <c r="A211" s="94"/>
      <c r="B211" s="1"/>
      <c r="C211" s="1"/>
    </row>
    <row r="212" spans="1:3" s="2" customFormat="1" ht="14" x14ac:dyDescent="0.15">
      <c r="A212" s="94"/>
      <c r="B212" s="1"/>
      <c r="C212" s="1"/>
    </row>
    <row r="213" spans="1:3" s="2" customFormat="1" ht="14" x14ac:dyDescent="0.15">
      <c r="A213" s="94"/>
      <c r="B213" s="1"/>
      <c r="C213" s="1"/>
    </row>
    <row r="214" spans="1:3" s="2" customFormat="1" ht="14" x14ac:dyDescent="0.15">
      <c r="A214" s="94"/>
      <c r="B214" s="1"/>
      <c r="C214" s="1"/>
    </row>
    <row r="215" spans="1:3" s="2" customFormat="1" ht="14" x14ac:dyDescent="0.15">
      <c r="A215" s="94"/>
      <c r="B215" s="1"/>
      <c r="C215" s="1"/>
    </row>
    <row r="216" spans="1:3" s="2" customFormat="1" ht="14" x14ac:dyDescent="0.15">
      <c r="A216" s="94"/>
      <c r="B216" s="1"/>
      <c r="C216" s="1"/>
    </row>
    <row r="217" spans="1:3" s="2" customFormat="1" ht="14" x14ac:dyDescent="0.15">
      <c r="A217" s="94"/>
      <c r="B217" s="1"/>
      <c r="C217" s="1"/>
    </row>
    <row r="218" spans="1:3" s="2" customFormat="1" ht="14" x14ac:dyDescent="0.15">
      <c r="A218" s="94"/>
      <c r="B218" s="1"/>
      <c r="C218" s="1"/>
    </row>
    <row r="219" spans="1:3" s="2" customFormat="1" ht="14" x14ac:dyDescent="0.15">
      <c r="A219" s="94"/>
      <c r="B219" s="1"/>
      <c r="C219" s="1"/>
    </row>
    <row r="220" spans="1:3" s="2" customFormat="1" ht="14" x14ac:dyDescent="0.15">
      <c r="A220" s="94"/>
      <c r="B220" s="1"/>
      <c r="C220" s="1"/>
    </row>
    <row r="221" spans="1:3" s="2" customFormat="1" ht="14" x14ac:dyDescent="0.15">
      <c r="A221" s="94"/>
      <c r="B221" s="1"/>
      <c r="C221" s="1"/>
    </row>
    <row r="222" spans="1:3" s="2" customFormat="1" ht="14" x14ac:dyDescent="0.15">
      <c r="A222" s="94"/>
      <c r="B222" s="1"/>
      <c r="C222" s="1"/>
    </row>
    <row r="223" spans="1:3" s="2" customFormat="1" ht="14" x14ac:dyDescent="0.15">
      <c r="A223" s="94"/>
      <c r="B223" s="1"/>
      <c r="C223" s="1"/>
    </row>
    <row r="224" spans="1:3" s="2" customFormat="1" ht="14" x14ac:dyDescent="0.15">
      <c r="A224" s="94"/>
      <c r="B224" s="1"/>
      <c r="C224" s="1"/>
    </row>
    <row r="225" spans="1:3" s="2" customFormat="1" ht="14" x14ac:dyDescent="0.15">
      <c r="A225" s="94"/>
      <c r="B225" s="1"/>
      <c r="C225" s="1"/>
    </row>
    <row r="226" spans="1:3" s="2" customFormat="1" ht="14" x14ac:dyDescent="0.15">
      <c r="A226" s="94"/>
      <c r="B226" s="1"/>
      <c r="C226" s="1"/>
    </row>
    <row r="227" spans="1:3" s="2" customFormat="1" ht="14" x14ac:dyDescent="0.15">
      <c r="A227" s="94"/>
      <c r="B227" s="1"/>
      <c r="C227" s="1"/>
    </row>
    <row r="228" spans="1:3" s="2" customFormat="1" ht="14" x14ac:dyDescent="0.15">
      <c r="A228" s="94"/>
      <c r="B228" s="1"/>
      <c r="C228" s="1"/>
    </row>
    <row r="229" spans="1:3" s="2" customFormat="1" ht="14" x14ac:dyDescent="0.15">
      <c r="A229" s="94"/>
      <c r="B229" s="1"/>
      <c r="C229" s="1"/>
    </row>
    <row r="230" spans="1:3" s="2" customFormat="1" ht="14" x14ac:dyDescent="0.15">
      <c r="A230" s="94"/>
      <c r="B230" s="1"/>
      <c r="C230" s="1"/>
    </row>
    <row r="231" spans="1:3" s="2" customFormat="1" ht="14" x14ac:dyDescent="0.15">
      <c r="A231" s="94"/>
      <c r="B231" s="1"/>
      <c r="C231" s="1"/>
    </row>
    <row r="232" spans="1:3" s="2" customFormat="1" ht="14" x14ac:dyDescent="0.15">
      <c r="A232" s="95"/>
      <c r="B232" s="1"/>
      <c r="C232" s="1"/>
    </row>
    <row r="233" spans="1:3" s="2" customFormat="1" ht="14" x14ac:dyDescent="0.15">
      <c r="A233" s="95"/>
      <c r="B233" s="1"/>
      <c r="C233" s="1"/>
    </row>
    <row r="234" spans="1:3" s="2" customFormat="1" ht="14" x14ac:dyDescent="0.15">
      <c r="A234" s="95"/>
      <c r="B234" s="1"/>
      <c r="C234" s="1"/>
    </row>
  </sheetData>
  <mergeCells count="12">
    <mergeCell ref="P4:Q4"/>
    <mergeCell ref="A1:N1"/>
    <mergeCell ref="A2:N2"/>
    <mergeCell ref="A4:A5"/>
    <mergeCell ref="B4:C4"/>
    <mergeCell ref="D4:D5"/>
    <mergeCell ref="E4:E5"/>
    <mergeCell ref="F4:F5"/>
    <mergeCell ref="G4:G5"/>
    <mergeCell ref="H4:H5"/>
    <mergeCell ref="I4:J4"/>
    <mergeCell ref="N4:O4"/>
  </mergeCells>
  <printOptions horizontalCentered="1"/>
  <pageMargins left="0" right="0" top="0.78749999999999998" bottom="0" header="0.51180555555555496" footer="0.51180555555555496"/>
  <pageSetup paperSize="9" scale="50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Pembelian</vt:lpstr>
      <vt:lpstr>Pembelian!Print_Area</vt:lpstr>
      <vt:lpstr>Pembelian!Print_Titles</vt:lpstr>
    </vt:vector>
  </TitlesOfParts>
  <Company>Spektrum 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Spektrum</dc:creator>
  <dc:description/>
  <cp:lastModifiedBy>Dendy</cp:lastModifiedBy>
  <cp:revision>0</cp:revision>
  <cp:lastPrinted>2021-05-23T10:18:49Z</cp:lastPrinted>
  <dcterms:created xsi:type="dcterms:W3CDTF">2009-10-01T23:54:51Z</dcterms:created>
  <dcterms:modified xsi:type="dcterms:W3CDTF">2026-08-25T12:08:09Z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Spektrum GS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